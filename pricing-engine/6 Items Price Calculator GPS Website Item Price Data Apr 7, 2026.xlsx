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ell\OneDrive\Desktop\Portal Docs\Vengat Works\"/>
    </mc:Choice>
  </mc:AlternateContent>
  <xr:revisionPtr revIDLastSave="0" documentId="13_ncr:1_{D1C2F350-B8EC-4DF6-8705-5C50555088A6}" xr6:coauthVersionLast="47" xr6:coauthVersionMax="47" xr10:uidLastSave="{00000000-0000-0000-0000-000000000000}"/>
  <bookViews>
    <workbookView xWindow="2340" yWindow="2100" windowWidth="25728" windowHeight="12120" activeTab="6" xr2:uid="{00000000-000D-0000-FFFF-FFFF00000000}"/>
  </bookViews>
  <sheets>
    <sheet name="Info" sheetId="17" r:id="rId1"/>
    <sheet name="Brochure" sheetId="1" r:id="rId2"/>
    <sheet name="Flyer" sheetId="2" r:id="rId3"/>
    <sheet name="Business card" sheetId="4" r:id="rId4"/>
    <sheet name="Booklets" sheetId="5" r:id="rId5"/>
    <sheet name="NCR Forms2" sheetId="7" r:id="rId6"/>
    <sheet name="Coroplast" sheetId="1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7" i="2" l="1"/>
  <c r="I68" i="2"/>
  <c r="I69" i="2"/>
  <c r="I70" i="2"/>
  <c r="I71" i="2"/>
  <c r="I72" i="2"/>
  <c r="I73" i="2"/>
  <c r="I74" i="2"/>
  <c r="I75" i="2"/>
  <c r="I66" i="2"/>
  <c r="H67" i="2"/>
  <c r="H68" i="2"/>
  <c r="H69" i="2"/>
  <c r="H70" i="2"/>
  <c r="H71" i="2"/>
  <c r="H72" i="2"/>
  <c r="H73" i="2"/>
  <c r="H74" i="2"/>
  <c r="H75" i="2"/>
  <c r="H66" i="2"/>
  <c r="G52" i="2"/>
  <c r="G53" i="2"/>
  <c r="G54" i="2"/>
  <c r="G55" i="2"/>
  <c r="G56" i="2"/>
  <c r="G57" i="2"/>
  <c r="G58" i="2"/>
  <c r="G59" i="2"/>
  <c r="G60" i="2"/>
  <c r="G51" i="2"/>
  <c r="G38" i="2"/>
  <c r="G39" i="2"/>
  <c r="G40" i="2"/>
  <c r="G41" i="2"/>
  <c r="G42" i="2"/>
  <c r="G43" i="2"/>
  <c r="G44" i="2"/>
  <c r="G45" i="2"/>
  <c r="G46" i="2"/>
  <c r="G37" i="2"/>
  <c r="G18" i="2"/>
  <c r="G19" i="2"/>
  <c r="G20" i="2"/>
  <c r="G21" i="2"/>
  <c r="G22" i="2"/>
  <c r="G23" i="2"/>
  <c r="G24" i="2"/>
  <c r="G25" i="2"/>
  <c r="G26" i="2"/>
  <c r="G17" i="2"/>
  <c r="G5" i="2"/>
  <c r="G6" i="2"/>
  <c r="G7" i="2"/>
  <c r="G8" i="2"/>
  <c r="G9" i="2"/>
  <c r="G10" i="2"/>
  <c r="G11" i="2"/>
  <c r="G12" i="2"/>
  <c r="G13" i="2"/>
  <c r="G4" i="2"/>
  <c r="I101" i="2"/>
  <c r="H101" i="2"/>
  <c r="I100" i="2"/>
  <c r="H100" i="2"/>
  <c r="I99" i="2"/>
  <c r="H99" i="2"/>
  <c r="I98" i="2"/>
  <c r="H98" i="2"/>
  <c r="I97" i="2"/>
  <c r="H97" i="2"/>
  <c r="I96" i="2"/>
  <c r="H96" i="2"/>
  <c r="I95" i="2"/>
  <c r="H95" i="2"/>
  <c r="I94" i="2"/>
  <c r="H94" i="2"/>
  <c r="I93" i="2"/>
  <c r="H93" i="2"/>
  <c r="I92" i="2"/>
  <c r="H92" i="2"/>
  <c r="I88" i="2"/>
  <c r="H88" i="2"/>
  <c r="I87" i="2"/>
  <c r="H87" i="2"/>
  <c r="I86" i="2"/>
  <c r="H86" i="2"/>
  <c r="I85" i="2"/>
  <c r="H85" i="2"/>
  <c r="I84" i="2"/>
  <c r="H84" i="2"/>
  <c r="I83" i="2"/>
  <c r="H83" i="2"/>
  <c r="I82" i="2"/>
  <c r="H82" i="2"/>
  <c r="I81" i="2"/>
  <c r="H81" i="2"/>
  <c r="I80" i="2"/>
  <c r="H80" i="2"/>
  <c r="I79" i="2"/>
  <c r="H79" i="2"/>
  <c r="M35" i="1"/>
  <c r="L35" i="1"/>
  <c r="K35" i="1"/>
  <c r="J35" i="1"/>
  <c r="I35" i="1"/>
  <c r="H35" i="1"/>
  <c r="G35" i="1"/>
  <c r="M34" i="1"/>
  <c r="L34" i="1"/>
  <c r="K34" i="1"/>
  <c r="J34" i="1"/>
  <c r="I34" i="1"/>
  <c r="H34" i="1"/>
  <c r="G34" i="1"/>
  <c r="M33" i="1"/>
  <c r="L33" i="1"/>
  <c r="K33" i="1"/>
  <c r="J33" i="1"/>
  <c r="I33" i="1"/>
  <c r="H33" i="1"/>
  <c r="G33" i="1"/>
  <c r="M32" i="1"/>
  <c r="L32" i="1"/>
  <c r="K32" i="1"/>
  <c r="J32" i="1"/>
  <c r="I32" i="1"/>
  <c r="H32" i="1"/>
  <c r="G32" i="1"/>
  <c r="M31" i="1"/>
  <c r="L31" i="1"/>
  <c r="K31" i="1"/>
  <c r="J31" i="1"/>
  <c r="I31" i="1"/>
  <c r="H31" i="1"/>
  <c r="G31" i="1"/>
  <c r="M30" i="1"/>
  <c r="L30" i="1"/>
  <c r="K30" i="1"/>
  <c r="J30" i="1"/>
  <c r="I30" i="1"/>
  <c r="H30" i="1"/>
  <c r="G30" i="1"/>
  <c r="M29" i="1"/>
  <c r="L29" i="1"/>
  <c r="K29" i="1"/>
  <c r="J29" i="1"/>
  <c r="I29" i="1"/>
  <c r="H29" i="1"/>
  <c r="G29" i="1"/>
  <c r="M28" i="1"/>
  <c r="L28" i="1"/>
  <c r="K28" i="1"/>
  <c r="J28" i="1"/>
  <c r="I28" i="1"/>
  <c r="H28" i="1"/>
  <c r="G28" i="1"/>
  <c r="M23" i="1"/>
  <c r="L23" i="1"/>
  <c r="K23" i="1"/>
  <c r="J23" i="1"/>
  <c r="I23" i="1"/>
  <c r="H23" i="1"/>
  <c r="G23" i="1"/>
  <c r="M22" i="1"/>
  <c r="L22" i="1"/>
  <c r="K22" i="1"/>
  <c r="J22" i="1"/>
  <c r="I22" i="1"/>
  <c r="H22" i="1"/>
  <c r="G22" i="1"/>
  <c r="M21" i="1"/>
  <c r="L21" i="1"/>
  <c r="K21" i="1"/>
  <c r="J21" i="1"/>
  <c r="I21" i="1"/>
  <c r="H21" i="1"/>
  <c r="G21" i="1"/>
  <c r="M20" i="1"/>
  <c r="L20" i="1"/>
  <c r="K20" i="1"/>
  <c r="J20" i="1"/>
  <c r="I20" i="1"/>
  <c r="H20" i="1"/>
  <c r="G20" i="1"/>
  <c r="M19" i="1"/>
  <c r="L19" i="1"/>
  <c r="K19" i="1"/>
  <c r="J19" i="1"/>
  <c r="I19" i="1"/>
  <c r="H19" i="1"/>
  <c r="G19" i="1"/>
  <c r="M18" i="1"/>
  <c r="L18" i="1"/>
  <c r="K18" i="1"/>
  <c r="J18" i="1"/>
  <c r="I18" i="1"/>
  <c r="H18" i="1"/>
  <c r="G18" i="1"/>
  <c r="M17" i="1"/>
  <c r="L17" i="1"/>
  <c r="K17" i="1"/>
  <c r="J17" i="1"/>
  <c r="I17" i="1"/>
  <c r="H17" i="1"/>
  <c r="G17" i="1"/>
  <c r="M16" i="1"/>
  <c r="L16" i="1"/>
  <c r="K16" i="1"/>
  <c r="J16" i="1"/>
  <c r="I16" i="1"/>
  <c r="H16" i="1"/>
  <c r="G16" i="1"/>
  <c r="M12" i="1"/>
  <c r="L12" i="1"/>
  <c r="K12" i="1"/>
  <c r="J12" i="1"/>
  <c r="I12" i="1"/>
  <c r="H12" i="1"/>
  <c r="G12" i="1"/>
  <c r="M11" i="1"/>
  <c r="L11" i="1"/>
  <c r="K11" i="1"/>
  <c r="J11" i="1"/>
  <c r="I11" i="1"/>
  <c r="H11" i="1"/>
  <c r="G11" i="1"/>
  <c r="M10" i="1"/>
  <c r="L10" i="1"/>
  <c r="K10" i="1"/>
  <c r="J10" i="1"/>
  <c r="I10" i="1"/>
  <c r="H10" i="1"/>
  <c r="G10" i="1"/>
  <c r="M9" i="1"/>
  <c r="L9" i="1"/>
  <c r="K9" i="1"/>
  <c r="J9" i="1"/>
  <c r="I9" i="1"/>
  <c r="H9" i="1"/>
  <c r="G9" i="1"/>
  <c r="M8" i="1"/>
  <c r="L8" i="1"/>
  <c r="K8" i="1"/>
  <c r="J8" i="1"/>
  <c r="I8" i="1"/>
  <c r="H8" i="1"/>
  <c r="G8" i="1"/>
  <c r="M7" i="1"/>
  <c r="L7" i="1"/>
  <c r="K7" i="1"/>
  <c r="J7" i="1"/>
  <c r="I7" i="1"/>
  <c r="H7" i="1"/>
  <c r="G7" i="1"/>
  <c r="M6" i="1"/>
  <c r="L6" i="1"/>
  <c r="K6" i="1"/>
  <c r="J6" i="1"/>
  <c r="I6" i="1"/>
  <c r="H6" i="1"/>
  <c r="G6" i="1"/>
  <c r="M5" i="1"/>
  <c r="L5" i="1"/>
  <c r="K5" i="1"/>
  <c r="J5" i="1"/>
  <c r="I5" i="1"/>
  <c r="H5" i="1"/>
  <c r="G5" i="1"/>
  <c r="M4" i="1"/>
  <c r="L4" i="1"/>
  <c r="K4" i="1"/>
  <c r="J4" i="1"/>
  <c r="I4" i="1"/>
  <c r="H4" i="1"/>
  <c r="G4" i="1"/>
  <c r="M3" i="1"/>
  <c r="L3" i="1"/>
  <c r="K3" i="1"/>
  <c r="J3" i="1"/>
  <c r="I3" i="1"/>
  <c r="H3" i="1"/>
  <c r="G3" i="1"/>
</calcChain>
</file>

<file path=xl/sharedStrings.xml><?xml version="1.0" encoding="utf-8"?>
<sst xmlns="http://schemas.openxmlformats.org/spreadsheetml/2006/main" count="1428" uniqueCount="167">
  <si>
    <t>Product Name</t>
  </si>
  <si>
    <t>Size</t>
  </si>
  <si>
    <t>Paper Stock</t>
  </si>
  <si>
    <t>Folding</t>
  </si>
  <si>
    <t>Quantity</t>
  </si>
  <si>
    <t>Base Price</t>
  </si>
  <si>
    <t xml:space="preserve">Regular Price Total </t>
  </si>
  <si>
    <t xml:space="preserve">Next Day </t>
  </si>
  <si>
    <t>Next Day Total</t>
  </si>
  <si>
    <t>Sameday</t>
  </si>
  <si>
    <t>Sameday Total</t>
  </si>
  <si>
    <t>1-Hours Delivery</t>
  </si>
  <si>
    <t xml:space="preserve">1-Hours Delivery Total </t>
  </si>
  <si>
    <t>Brochure</t>
  </si>
  <si>
    <t>8.5" x 11"</t>
  </si>
  <si>
    <t>100lb Gloss Text / 80lb Gloss Text</t>
  </si>
  <si>
    <t>Half Fold / Tri-Fold / Z-Fold</t>
  </si>
  <si>
    <t>8.5" x 14"</t>
  </si>
  <si>
    <t>11" x 17"</t>
  </si>
  <si>
    <t>Base Price Single Sided</t>
  </si>
  <si>
    <t>Total Single Sided</t>
  </si>
  <si>
    <t>Regular</t>
  </si>
  <si>
    <t>Next Day</t>
  </si>
  <si>
    <t>Same Day</t>
  </si>
  <si>
    <t>Flyers</t>
  </si>
  <si>
    <t>4" x 6"</t>
  </si>
  <si>
    <t>80lb Gloss Text / 100lb Gloss Text</t>
  </si>
  <si>
    <t>Base Price Double Side</t>
  </si>
  <si>
    <t>Total Double sided</t>
  </si>
  <si>
    <t xml:space="preserve">Review </t>
  </si>
  <si>
    <t>Flyer</t>
  </si>
  <si>
    <t>5" x 7"</t>
  </si>
  <si>
    <t>Total Double Sided</t>
  </si>
  <si>
    <t>Double Side</t>
  </si>
  <si>
    <t>Total</t>
  </si>
  <si>
    <t>5.5" x 8.5"</t>
  </si>
  <si>
    <t>8.5x11</t>
  </si>
  <si>
    <t>5.5x8.5</t>
  </si>
  <si>
    <t>Base Price Sameday</t>
  </si>
  <si>
    <t>Double-Sided</t>
  </si>
  <si>
    <t>Double-Sided Sameday</t>
  </si>
  <si>
    <t>Round Carner</t>
  </si>
  <si>
    <t>Round Carner / Sameday Delivery</t>
  </si>
  <si>
    <t>Double Side&amp; Round Carner</t>
  </si>
  <si>
    <t>Double Side&amp; Round Carner /Sameday Delivery</t>
  </si>
  <si>
    <t>Business card</t>
  </si>
  <si>
    <t>3.5x2</t>
  </si>
  <si>
    <t>Semi Gloss</t>
  </si>
  <si>
    <t>Uncoated Business Cards</t>
  </si>
  <si>
    <t>High Gloss Business Cards</t>
  </si>
  <si>
    <t>Soft-Touch Business Cards</t>
  </si>
  <si>
    <t>True Matte  Business Cards</t>
  </si>
  <si>
    <t>2.5x2.5</t>
  </si>
  <si>
    <t>Square Business Cards</t>
  </si>
  <si>
    <t>8 Pages</t>
  </si>
  <si>
    <t>12 Pages</t>
  </si>
  <si>
    <t>16 Pages</t>
  </si>
  <si>
    <t>20 Pages</t>
  </si>
  <si>
    <t>24 Pages</t>
  </si>
  <si>
    <t>28 Pages</t>
  </si>
  <si>
    <t>32 Pages</t>
  </si>
  <si>
    <t>36 Pages</t>
  </si>
  <si>
    <t>40 Pages</t>
  </si>
  <si>
    <t>44 Pages</t>
  </si>
  <si>
    <t>48 Pages</t>
  </si>
  <si>
    <t>52 Pages</t>
  </si>
  <si>
    <t>56 Pages</t>
  </si>
  <si>
    <t>60 Pages</t>
  </si>
  <si>
    <t>64 Pages</t>
  </si>
  <si>
    <t>PAPER STOCK</t>
  </si>
  <si>
    <t>QUANTITY</t>
  </si>
  <si>
    <t>12pt Cover</t>
  </si>
  <si>
    <t>12pt Cover AQ</t>
  </si>
  <si>
    <t>12pt Cover UV</t>
  </si>
  <si>
    <t>Booklets</t>
  </si>
  <si>
    <t>Gloss 216 gsm</t>
  </si>
  <si>
    <t>100lb Gloss</t>
  </si>
  <si>
    <t>Qty</t>
  </si>
  <si>
    <t>Base Price (2 part &amp; Single Color)</t>
  </si>
  <si>
    <t>NCR Forms</t>
  </si>
  <si>
    <t xml:space="preserve">5.5x8.5 </t>
  </si>
  <si>
    <t>Book wrap 10 dollar extra</t>
  </si>
  <si>
    <t>Numbering 20 dollar extra'</t>
  </si>
  <si>
    <t>Base Price (2 part &amp; Mult Color)</t>
  </si>
  <si>
    <t>Base Price (3 part &amp; Single Color)</t>
  </si>
  <si>
    <t>Base Price (3 part &amp; Multi Color)</t>
  </si>
  <si>
    <t xml:space="preserve">8.5"x11" </t>
  </si>
  <si>
    <t>8.5"x11"</t>
  </si>
  <si>
    <t>Colour Ink</t>
  </si>
  <si>
    <t>Tri Colour</t>
  </si>
  <si>
    <t>Try Colour ,Book-Wraparound</t>
  </si>
  <si>
    <t>24x36</t>
  </si>
  <si>
    <t>12x18</t>
  </si>
  <si>
    <t>6x24</t>
  </si>
  <si>
    <t>6x32</t>
  </si>
  <si>
    <t>6x36</t>
  </si>
  <si>
    <t>12x12</t>
  </si>
  <si>
    <t>12x16</t>
  </si>
  <si>
    <t>12x24</t>
  </si>
  <si>
    <t>12x36</t>
  </si>
  <si>
    <t>12x48</t>
  </si>
  <si>
    <t>18x24</t>
  </si>
  <si>
    <t>24x24</t>
  </si>
  <si>
    <t>24x48</t>
  </si>
  <si>
    <t>25x37</t>
  </si>
  <si>
    <t>32x48</t>
  </si>
  <si>
    <t>36x36</t>
  </si>
  <si>
    <t>36x48</t>
  </si>
  <si>
    <t>48x48</t>
  </si>
  <si>
    <t>1 Side</t>
  </si>
  <si>
    <t>2 side</t>
  </si>
  <si>
    <t>4mm Coroplast</t>
  </si>
  <si>
    <t>Grommets</t>
  </si>
  <si>
    <t>H Stand</t>
  </si>
  <si>
    <t>2 Sides</t>
  </si>
  <si>
    <t>Top 2 Corners</t>
  </si>
  <si>
    <t>All 4 Corners</t>
  </si>
  <si>
    <t>6mm Coroplast</t>
  </si>
  <si>
    <t>8mm Coroplast</t>
  </si>
  <si>
    <t>10mm Coroplast</t>
  </si>
  <si>
    <t>4mm Foamcore</t>
  </si>
  <si>
    <t>-</t>
  </si>
  <si>
    <t>12X12</t>
  </si>
  <si>
    <t xml:space="preserve">Coroplast </t>
  </si>
  <si>
    <t>4mm 6mm 10mm</t>
  </si>
  <si>
    <t>4mm 6mm 8mm 10mm</t>
  </si>
  <si>
    <t>Foamcore</t>
  </si>
  <si>
    <t xml:space="preserve">4mm </t>
  </si>
  <si>
    <t xml:space="preserve">Alupanel </t>
  </si>
  <si>
    <t xml:space="preserve">3mm </t>
  </si>
  <si>
    <t>3mm 6mm</t>
  </si>
  <si>
    <t xml:space="preserve">Styrene </t>
  </si>
  <si>
    <t xml:space="preserve">20pt </t>
  </si>
  <si>
    <t>20pt 40pt 60pt</t>
  </si>
  <si>
    <t>Sintra / PVC</t>
  </si>
  <si>
    <t xml:space="preserve">3mm 6mm 12mm </t>
  </si>
  <si>
    <t>Acrylic</t>
  </si>
  <si>
    <t>PETG</t>
  </si>
  <si>
    <t>40pts</t>
  </si>
  <si>
    <t>Crezone</t>
  </si>
  <si>
    <t>POP</t>
  </si>
  <si>
    <t>24pt 40pt</t>
  </si>
  <si>
    <t>Ultra Board</t>
  </si>
  <si>
    <t>5mm</t>
  </si>
  <si>
    <t>Card Stock</t>
  </si>
  <si>
    <t>24pt, 50pt</t>
  </si>
  <si>
    <t>$.75 per pcs</t>
  </si>
  <si>
    <t>$.1.31 per pcs</t>
  </si>
  <si>
    <t xml:space="preserve">Two sided </t>
  </si>
  <si>
    <t>Plus 0.4%</t>
  </si>
  <si>
    <t>Special Instructions </t>
  </si>
  <si>
    <r>
      <t xml:space="preserve">How many </t>
    </r>
    <r>
      <rPr>
        <b/>
        <sz val="11"/>
        <color theme="1"/>
        <rFont val="Arial"/>
        <family val="2"/>
        <scheme val="minor"/>
      </rPr>
      <t>sets</t>
    </r>
  </si>
  <si>
    <t>Need a custom size? Yes</t>
  </si>
  <si>
    <t>Need custom quantity? Yes</t>
  </si>
  <si>
    <t>1-9 pcs</t>
  </si>
  <si>
    <t>When they are selected below sizes Automatically dropdown the below mentioned sizes</t>
  </si>
  <si>
    <t>Qty 1&amp; 2 will be in all sizes.</t>
  </si>
  <si>
    <t>Column1</t>
  </si>
  <si>
    <t>Column2</t>
  </si>
  <si>
    <t>Column3</t>
  </si>
  <si>
    <t>Column4</t>
  </si>
  <si>
    <t>Column5</t>
  </si>
  <si>
    <t>Column6</t>
  </si>
  <si>
    <t>Qty per Sheet (48x96)</t>
  </si>
  <si>
    <t>48x60</t>
  </si>
  <si>
    <t>48x72</t>
  </si>
  <si>
    <t>48x96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</si>
</sst>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4">
    <font>
      <sz val="10"/>
      <color rgb="FF000000"/>
      <name val="Arial"/>
      <scheme val="minor"/>
    </font>
    <font>
      <b/>
      <sz val="12"/>
      <color rgb="FF000000"/>
      <name val="&quot;Times New Roman&quot;"/>
    </font>
    <font>
      <sz val="10"/>
      <name val="Arial"/>
    </font>
    <font>
      <sz val="12"/>
      <color rgb="FF000000"/>
      <name val="&quot;Times New Roman&quot;"/>
    </font>
    <font>
      <sz val="10"/>
      <color theme="1"/>
      <name val="Arial"/>
      <scheme val="minor"/>
    </font>
    <font>
      <sz val="10"/>
      <color rgb="FF212529"/>
      <name val="Arial"/>
    </font>
    <font>
      <sz val="12"/>
      <color theme="1"/>
      <name val="Jost-Regular"/>
    </font>
    <font>
      <sz val="10"/>
      <color rgb="FFDC3545"/>
      <name val="Arial"/>
    </font>
    <font>
      <sz val="12"/>
      <color rgb="FF212529"/>
      <name val="Jost-Regular"/>
    </font>
    <font>
      <sz val="12"/>
      <color rgb="FF212529"/>
      <name val="Arial"/>
    </font>
    <font>
      <b/>
      <sz val="12"/>
      <color theme="1"/>
      <name val="Jost-Regular"/>
    </font>
    <font>
      <b/>
      <sz val="11"/>
      <color theme="1"/>
      <name val="Quicksandregular"/>
    </font>
    <font>
      <b/>
      <sz val="11"/>
      <color theme="1"/>
      <name val="Arial"/>
    </font>
    <font>
      <b/>
      <sz val="10"/>
      <color theme="1"/>
      <name val="Arial"/>
      <scheme val="minor"/>
    </font>
    <font>
      <sz val="11"/>
      <color rgb="FF212529"/>
      <name val="Quicksandbold"/>
    </font>
    <font>
      <sz val="11"/>
      <color rgb="FF212529"/>
      <name val="Arial"/>
    </font>
    <font>
      <sz val="11"/>
      <color rgb="FF212529"/>
      <name val="Quicksandregular"/>
    </font>
    <font>
      <sz val="10"/>
      <color theme="1"/>
      <name val="Arial"/>
    </font>
    <font>
      <b/>
      <sz val="11"/>
      <color theme="1"/>
      <name val="Arial"/>
      <family val="2"/>
      <scheme val="minor"/>
    </font>
    <font>
      <sz val="11"/>
      <color rgb="FF00B050"/>
      <name val="Arial"/>
      <family val="2"/>
      <scheme val="minor"/>
    </font>
    <font>
      <sz val="11"/>
      <color rgb="FF00B050"/>
      <name val="Calibri"/>
      <family val="2"/>
    </font>
    <font>
      <sz val="11"/>
      <color rgb="FFFF0000"/>
      <name val="Calibri"/>
      <family val="2"/>
    </font>
    <font>
      <sz val="11"/>
      <color rgb="FF333333"/>
      <name val="Arial"/>
      <family val="2"/>
      <scheme val="minor"/>
    </font>
    <font>
      <sz val="11"/>
      <color theme="1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D9D2E9"/>
        <bgColor rgb="FFD9D2E9"/>
      </patternFill>
    </fill>
    <fill>
      <patternFill patternType="solid">
        <fgColor rgb="FF6D9EEB"/>
        <bgColor rgb="FF6D9EEB"/>
      </patternFill>
    </fill>
    <fill>
      <patternFill patternType="solid">
        <fgColor rgb="FFB6D7A8"/>
        <bgColor rgb="FFB6D7A8"/>
      </patternFill>
    </fill>
    <fill>
      <patternFill patternType="solid">
        <fgColor rgb="FFF9CB9C"/>
        <bgColor rgb="FFF9CB9C"/>
      </patternFill>
    </fill>
    <fill>
      <patternFill patternType="solid">
        <fgColor rgb="FFE6B8AF"/>
        <bgColor rgb="FFE6B8AF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CCCCCC"/>
        <bgColor rgb="FFCCCCCC"/>
      </patternFill>
    </fill>
    <fill>
      <patternFill patternType="solid">
        <fgColor rgb="FF9FC5E8"/>
        <bgColor rgb="FF9FC5E8"/>
      </patternFill>
    </fill>
    <fill>
      <patternFill patternType="solid">
        <fgColor rgb="FFF0F0F0"/>
        <bgColor rgb="FFF0F0F0"/>
      </patternFill>
    </fill>
    <fill>
      <patternFill patternType="solid">
        <fgColor rgb="FFD0CECE"/>
        <bgColor indexed="64"/>
      </patternFill>
    </fill>
  </fills>
  <borders count="3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medium">
        <color rgb="FF36333C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DEE2E6"/>
      </left>
      <right/>
      <top style="thin">
        <color rgb="FFDEE2E6"/>
      </top>
      <bottom style="medium">
        <color rgb="FF4B4B4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EE2E6"/>
      </left>
      <right style="thin">
        <color rgb="FFDEE2E6"/>
      </right>
      <top/>
      <bottom style="thin">
        <color rgb="FFDEE2E6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medium">
        <color rgb="FF4B4B4B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137">
    <xf numFmtId="0" fontId="0" fillId="0" borderId="0" xfId="0"/>
    <xf numFmtId="0" fontId="1" fillId="2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6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4" fillId="7" borderId="0" xfId="0" applyFont="1" applyFill="1"/>
    <xf numFmtId="4" fontId="4" fillId="8" borderId="0" xfId="0" applyNumberFormat="1" applyFont="1" applyFill="1"/>
    <xf numFmtId="0" fontId="4" fillId="8" borderId="0" xfId="0" applyFont="1" applyFill="1"/>
    <xf numFmtId="0" fontId="3" fillId="10" borderId="0" xfId="0" applyFont="1" applyFill="1" applyAlignment="1">
      <alignment horizontal="center"/>
    </xf>
    <xf numFmtId="0" fontId="4" fillId="6" borderId="0" xfId="0" applyFont="1" applyFill="1"/>
    <xf numFmtId="0" fontId="4" fillId="4" borderId="0" xfId="0" applyFont="1" applyFill="1"/>
    <xf numFmtId="0" fontId="3" fillId="0" borderId="0" xfId="0" applyFont="1"/>
    <xf numFmtId="0" fontId="3" fillId="11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/>
    </xf>
    <xf numFmtId="164" fontId="5" fillId="9" borderId="3" xfId="0" applyNumberFormat="1" applyFont="1" applyFill="1" applyBorder="1" applyAlignment="1">
      <alignment horizontal="center" vertical="center"/>
    </xf>
    <xf numFmtId="164" fontId="6" fillId="9" borderId="3" xfId="0" applyNumberFormat="1" applyFont="1" applyFill="1" applyBorder="1" applyAlignment="1">
      <alignment horizontal="center" vertical="center"/>
    </xf>
    <xf numFmtId="164" fontId="7" fillId="9" borderId="3" xfId="0" applyNumberFormat="1" applyFont="1" applyFill="1" applyBorder="1" applyAlignment="1">
      <alignment horizontal="center" vertical="center"/>
    </xf>
    <xf numFmtId="164" fontId="6" fillId="9" borderId="3" xfId="0" applyNumberFormat="1" applyFont="1" applyFill="1" applyBorder="1" applyAlignment="1">
      <alignment vertical="top"/>
    </xf>
    <xf numFmtId="0" fontId="7" fillId="9" borderId="3" xfId="0" applyFont="1" applyFill="1" applyBorder="1" applyAlignment="1">
      <alignment horizontal="center" vertical="center"/>
    </xf>
    <xf numFmtId="164" fontId="8" fillId="9" borderId="3" xfId="0" applyNumberFormat="1" applyFont="1" applyFill="1" applyBorder="1" applyAlignment="1">
      <alignment horizontal="center" vertical="center"/>
    </xf>
    <xf numFmtId="0" fontId="8" fillId="9" borderId="3" xfId="0" applyFont="1" applyFill="1" applyBorder="1" applyAlignment="1">
      <alignment vertical="top"/>
    </xf>
    <xf numFmtId="164" fontId="6" fillId="9" borderId="3" xfId="0" applyNumberFormat="1" applyFont="1" applyFill="1" applyBorder="1" applyAlignment="1">
      <alignment horizontal="center" vertical="top"/>
    </xf>
    <xf numFmtId="164" fontId="8" fillId="9" borderId="3" xfId="0" applyNumberFormat="1" applyFont="1" applyFill="1" applyBorder="1" applyAlignment="1">
      <alignment horizontal="center" vertical="top"/>
    </xf>
    <xf numFmtId="0" fontId="6" fillId="9" borderId="3" xfId="0" applyFont="1" applyFill="1" applyBorder="1" applyAlignment="1">
      <alignment vertical="top"/>
    </xf>
    <xf numFmtId="164" fontId="8" fillId="9" borderId="3" xfId="0" applyNumberFormat="1" applyFont="1" applyFill="1" applyBorder="1" applyAlignment="1">
      <alignment vertical="top"/>
    </xf>
    <xf numFmtId="0" fontId="9" fillId="9" borderId="3" xfId="0" applyFont="1" applyFill="1" applyBorder="1" applyAlignment="1">
      <alignment vertical="top"/>
    </xf>
    <xf numFmtId="0" fontId="10" fillId="0" borderId="4" xfId="0" applyFont="1" applyBorder="1"/>
    <xf numFmtId="164" fontId="10" fillId="0" borderId="4" xfId="0" applyNumberFormat="1" applyFont="1" applyBorder="1"/>
    <xf numFmtId="0" fontId="4" fillId="0" borderId="0" xfId="0" applyFont="1" applyAlignment="1">
      <alignment horizontal="center" vertical="center"/>
    </xf>
    <xf numFmtId="0" fontId="6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center" vertical="center"/>
    </xf>
    <xf numFmtId="0" fontId="9" fillId="9" borderId="3" xfId="0" applyFont="1" applyFill="1" applyBorder="1" applyAlignment="1">
      <alignment horizontal="center" vertical="center"/>
    </xf>
    <xf numFmtId="0" fontId="11" fillId="0" borderId="0" xfId="0" applyFont="1"/>
    <xf numFmtId="0" fontId="12" fillId="0" borderId="0" xfId="0" applyFont="1"/>
    <xf numFmtId="0" fontId="1" fillId="13" borderId="0" xfId="0" applyFont="1" applyFill="1" applyAlignment="1">
      <alignment horizontal="center"/>
    </xf>
    <xf numFmtId="0" fontId="11" fillId="13" borderId="6" xfId="0" applyFont="1" applyFill="1" applyBorder="1"/>
    <xf numFmtId="0" fontId="13" fillId="14" borderId="7" xfId="0" applyFont="1" applyFill="1" applyBorder="1" applyAlignment="1">
      <alignment horizontal="center"/>
    </xf>
    <xf numFmtId="0" fontId="12" fillId="14" borderId="7" xfId="0" applyFont="1" applyFill="1" applyBorder="1" applyAlignment="1">
      <alignment horizontal="center"/>
    </xf>
    <xf numFmtId="4" fontId="14" fillId="15" borderId="0" xfId="0" applyNumberFormat="1" applyFont="1" applyFill="1" applyAlignment="1">
      <alignment horizontal="center" vertical="top"/>
    </xf>
    <xf numFmtId="4" fontId="15" fillId="15" borderId="0" xfId="0" applyNumberFormat="1" applyFont="1" applyFill="1" applyAlignment="1">
      <alignment horizontal="center" vertical="top"/>
    </xf>
    <xf numFmtId="4" fontId="14" fillId="15" borderId="3" xfId="0" applyNumberFormat="1" applyFont="1" applyFill="1" applyBorder="1" applyAlignment="1">
      <alignment horizontal="center" vertical="top"/>
    </xf>
    <xf numFmtId="4" fontId="15" fillId="15" borderId="8" xfId="0" applyNumberFormat="1" applyFont="1" applyFill="1" applyBorder="1" applyAlignment="1">
      <alignment horizontal="left" vertical="top"/>
    </xf>
    <xf numFmtId="4" fontId="16" fillId="15" borderId="3" xfId="0" applyNumberFormat="1" applyFont="1" applyFill="1" applyBorder="1" applyAlignment="1">
      <alignment horizontal="left" vertical="top"/>
    </xf>
    <xf numFmtId="4" fontId="15" fillId="15" borderId="3" xfId="0" applyNumberFormat="1" applyFont="1" applyFill="1" applyBorder="1" applyAlignment="1">
      <alignment horizontal="left" vertical="top"/>
    </xf>
    <xf numFmtId="4" fontId="4" fillId="0" borderId="0" xfId="0" applyNumberFormat="1" applyFont="1"/>
    <xf numFmtId="0" fontId="11" fillId="0" borderId="9" xfId="0" applyFont="1" applyBorder="1"/>
    <xf numFmtId="0" fontId="4" fillId="0" borderId="0" xfId="0" applyFont="1"/>
    <xf numFmtId="0" fontId="14" fillId="15" borderId="3" xfId="0" applyFont="1" applyFill="1" applyBorder="1" applyAlignment="1">
      <alignment horizontal="left" vertical="top"/>
    </xf>
    <xf numFmtId="0" fontId="16" fillId="15" borderId="3" xfId="0" applyFont="1" applyFill="1" applyBorder="1" applyAlignment="1">
      <alignment horizontal="left" vertical="top"/>
    </xf>
    <xf numFmtId="0" fontId="17" fillId="0" borderId="0" xfId="0" applyFont="1"/>
    <xf numFmtId="0" fontId="4" fillId="4" borderId="0" xfId="0" applyFont="1" applyFill="1" applyAlignment="1">
      <alignment horizontal="center"/>
    </xf>
    <xf numFmtId="0" fontId="17" fillId="4" borderId="0" xfId="0" applyFont="1" applyFill="1"/>
    <xf numFmtId="0" fontId="17" fillId="0" borderId="0" xfId="0" applyFont="1" applyAlignment="1">
      <alignment horizontal="right"/>
    </xf>
    <xf numFmtId="0" fontId="3" fillId="0" borderId="0" xfId="0" applyFont="1" applyAlignment="1">
      <alignment horizontal="center" vertical="center"/>
    </xf>
    <xf numFmtId="0" fontId="0" fillId="0" borderId="0" xfId="0"/>
    <xf numFmtId="9" fontId="1" fillId="3" borderId="1" xfId="0" applyNumberFormat="1" applyFont="1" applyFill="1" applyBorder="1" applyAlignment="1">
      <alignment horizontal="center"/>
    </xf>
    <xf numFmtId="0" fontId="2" fillId="0" borderId="2" xfId="0" applyFont="1" applyBorder="1"/>
    <xf numFmtId="9" fontId="1" fillId="4" borderId="1" xfId="0" applyNumberFormat="1" applyFont="1" applyFill="1" applyBorder="1" applyAlignment="1">
      <alignment horizontal="center"/>
    </xf>
    <xf numFmtId="9" fontId="1" fillId="5" borderId="0" xfId="0" applyNumberFormat="1" applyFont="1" applyFill="1" applyAlignment="1">
      <alignment horizontal="center"/>
    </xf>
    <xf numFmtId="0" fontId="3" fillId="9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12" fillId="12" borderId="1" xfId="0" applyFont="1" applyFill="1" applyBorder="1" applyAlignment="1">
      <alignment horizontal="center"/>
    </xf>
    <xf numFmtId="0" fontId="2" fillId="0" borderId="5" xfId="0" applyFont="1" applyBorder="1"/>
    <xf numFmtId="4" fontId="15" fillId="15" borderId="0" xfId="0" applyNumberFormat="1" applyFont="1" applyFill="1" applyAlignment="1">
      <alignment horizontal="center" vertical="top"/>
    </xf>
    <xf numFmtId="0" fontId="11" fillId="12" borderId="1" xfId="0" applyFont="1" applyFill="1" applyBorder="1" applyAlignment="1">
      <alignment horizontal="center"/>
    </xf>
    <xf numFmtId="0" fontId="4" fillId="0" borderId="0" xfId="0" applyFont="1"/>
    <xf numFmtId="2" fontId="0" fillId="0" borderId="0" xfId="0" applyNumberFormat="1"/>
    <xf numFmtId="0" fontId="19" fillId="0" borderId="0" xfId="0" applyFont="1"/>
    <xf numFmtId="0" fontId="20" fillId="0" borderId="10" xfId="0" applyFont="1" applyBorder="1" applyAlignment="1">
      <alignment horizontal="center" vertical="center" wrapText="1"/>
    </xf>
    <xf numFmtId="2" fontId="20" fillId="16" borderId="10" xfId="0" applyNumberFormat="1" applyFont="1" applyFill="1" applyBorder="1" applyAlignment="1">
      <alignment horizontal="center" vertical="center" wrapText="1"/>
    </xf>
    <xf numFmtId="2" fontId="20" fillId="16" borderId="10" xfId="0" applyNumberFormat="1" applyFont="1" applyFill="1" applyBorder="1" applyAlignment="1">
      <alignment horizontal="center" vertical="center" wrapText="1"/>
    </xf>
    <xf numFmtId="2" fontId="20" fillId="0" borderId="10" xfId="0" applyNumberFormat="1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2" fontId="21" fillId="0" borderId="10" xfId="0" applyNumberFormat="1" applyFont="1" applyBorder="1" applyAlignment="1">
      <alignment horizontal="center" vertical="center" wrapText="1"/>
    </xf>
    <xf numFmtId="2" fontId="19" fillId="0" borderId="0" xfId="0" applyNumberFormat="1" applyFont="1"/>
    <xf numFmtId="0" fontId="20" fillId="0" borderId="11" xfId="0" applyFont="1" applyBorder="1" applyAlignment="1">
      <alignment horizontal="center" vertical="center" wrapText="1"/>
    </xf>
    <xf numFmtId="2" fontId="20" fillId="16" borderId="12" xfId="0" applyNumberFormat="1" applyFont="1" applyFill="1" applyBorder="1" applyAlignment="1">
      <alignment horizontal="center" vertical="center" wrapText="1"/>
    </xf>
    <xf numFmtId="2" fontId="20" fillId="16" borderId="13" xfId="0" applyNumberFormat="1" applyFont="1" applyFill="1" applyBorder="1" applyAlignment="1">
      <alignment horizontal="center" vertical="center" wrapText="1"/>
    </xf>
    <xf numFmtId="2" fontId="20" fillId="16" borderId="14" xfId="0" applyNumberFormat="1" applyFont="1" applyFill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2" fontId="20" fillId="0" borderId="16" xfId="0" applyNumberFormat="1" applyFont="1" applyBorder="1" applyAlignment="1">
      <alignment horizontal="center" vertical="center" wrapText="1"/>
    </xf>
    <xf numFmtId="2" fontId="20" fillId="0" borderId="17" xfId="0" applyNumberFormat="1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2" fontId="20" fillId="0" borderId="19" xfId="0" applyNumberFormat="1" applyFont="1" applyBorder="1" applyAlignment="1">
      <alignment horizontal="center" vertical="center" wrapText="1"/>
    </xf>
    <xf numFmtId="2" fontId="20" fillId="0" borderId="20" xfId="0" applyNumberFormat="1" applyFont="1" applyBorder="1" applyAlignment="1">
      <alignment horizontal="center" vertical="center" wrapText="1"/>
    </xf>
    <xf numFmtId="2" fontId="21" fillId="0" borderId="19" xfId="0" applyNumberFormat="1" applyFont="1" applyBorder="1" applyAlignment="1">
      <alignment horizontal="center" vertical="center" wrapText="1"/>
    </xf>
    <xf numFmtId="2" fontId="21" fillId="0" borderId="20" xfId="0" applyNumberFormat="1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2" fontId="21" fillId="0" borderId="22" xfId="0" applyNumberFormat="1" applyFont="1" applyBorder="1" applyAlignment="1">
      <alignment horizontal="center" vertical="center" wrapText="1"/>
    </xf>
    <xf numFmtId="2" fontId="21" fillId="0" borderId="23" xfId="0" applyNumberFormat="1" applyFont="1" applyBorder="1" applyAlignment="1">
      <alignment horizontal="center" vertical="center" wrapText="1"/>
    </xf>
    <xf numFmtId="2" fontId="20" fillId="16" borderId="12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2" fontId="20" fillId="16" borderId="14" xfId="0" applyNumberFormat="1" applyFont="1" applyFill="1" applyBorder="1" applyAlignment="1">
      <alignment horizontal="center" vertical="center" wrapText="1"/>
    </xf>
    <xf numFmtId="2" fontId="20" fillId="16" borderId="16" xfId="0" applyNumberFormat="1" applyFont="1" applyFill="1" applyBorder="1" applyAlignment="1">
      <alignment horizontal="center" vertical="center" wrapText="1"/>
    </xf>
    <xf numFmtId="2" fontId="20" fillId="16" borderId="24" xfId="0" applyNumberFormat="1" applyFont="1" applyFill="1" applyBorder="1" applyAlignment="1">
      <alignment horizontal="center" vertical="center" wrapText="1"/>
    </xf>
    <xf numFmtId="0" fontId="20" fillId="0" borderId="25" xfId="0" applyFont="1" applyBorder="1" applyAlignment="1">
      <alignment horizontal="center" vertical="center" wrapText="1"/>
    </xf>
    <xf numFmtId="2" fontId="21" fillId="16" borderId="10" xfId="0" applyNumberFormat="1" applyFont="1" applyFill="1" applyBorder="1" applyAlignment="1">
      <alignment horizontal="center" vertical="center" wrapText="1"/>
    </xf>
    <xf numFmtId="2" fontId="21" fillId="16" borderId="16" xfId="0" applyNumberFormat="1" applyFont="1" applyFill="1" applyBorder="1" applyAlignment="1">
      <alignment horizontal="center" vertical="center" wrapText="1"/>
    </xf>
    <xf numFmtId="2" fontId="21" fillId="16" borderId="24" xfId="0" applyNumberFormat="1" applyFont="1" applyFill="1" applyBorder="1" applyAlignment="1">
      <alignment horizontal="center" vertical="center" wrapText="1"/>
    </xf>
    <xf numFmtId="0" fontId="20" fillId="0" borderId="26" xfId="0" applyFont="1" applyBorder="1" applyAlignment="1">
      <alignment horizontal="center" vertical="center" wrapText="1"/>
    </xf>
    <xf numFmtId="2" fontId="20" fillId="16" borderId="26" xfId="0" applyNumberFormat="1" applyFont="1" applyFill="1" applyBorder="1" applyAlignment="1">
      <alignment horizontal="center" vertical="center" wrapText="1"/>
    </xf>
    <xf numFmtId="2" fontId="20" fillId="16" borderId="26" xfId="0" applyNumberFormat="1" applyFont="1" applyFill="1" applyBorder="1" applyAlignment="1">
      <alignment horizontal="center" vertical="center" wrapText="1"/>
    </xf>
    <xf numFmtId="2" fontId="20" fillId="0" borderId="26" xfId="0" applyNumberFormat="1" applyFont="1" applyBorder="1" applyAlignment="1">
      <alignment horizontal="center" vertical="center" wrapText="1"/>
    </xf>
    <xf numFmtId="0" fontId="20" fillId="0" borderId="26" xfId="0" applyFont="1" applyBorder="1" applyAlignment="1">
      <alignment horizontal="center" vertical="center" wrapText="1"/>
    </xf>
    <xf numFmtId="2" fontId="21" fillId="0" borderId="26" xfId="0" applyNumberFormat="1" applyFont="1" applyBorder="1" applyAlignment="1">
      <alignment horizontal="center" vertical="center" wrapText="1"/>
    </xf>
    <xf numFmtId="0" fontId="19" fillId="0" borderId="26" xfId="0" applyFont="1" applyBorder="1"/>
    <xf numFmtId="2" fontId="19" fillId="0" borderId="26" xfId="0" applyNumberFormat="1" applyFont="1" applyBorder="1"/>
    <xf numFmtId="0" fontId="20" fillId="0" borderId="27" xfId="0" applyFont="1" applyBorder="1" applyAlignment="1">
      <alignment horizontal="center" vertical="center" wrapText="1"/>
    </xf>
    <xf numFmtId="2" fontId="20" fillId="16" borderId="28" xfId="0" applyNumberFormat="1" applyFont="1" applyFill="1" applyBorder="1" applyAlignment="1">
      <alignment horizontal="center" vertical="center" wrapText="1"/>
    </xf>
    <xf numFmtId="2" fontId="20" fillId="16" borderId="29" xfId="0" applyNumberFormat="1" applyFont="1" applyFill="1" applyBorder="1" applyAlignment="1">
      <alignment horizontal="center" vertical="center" wrapText="1"/>
    </xf>
    <xf numFmtId="0" fontId="20" fillId="0" borderId="30" xfId="0" applyFont="1" applyBorder="1" applyAlignment="1">
      <alignment horizontal="center" vertical="center" wrapText="1"/>
    </xf>
    <xf numFmtId="0" fontId="22" fillId="0" borderId="0" xfId="0" applyFont="1" applyAlignment="1">
      <alignment vertical="center" wrapText="1"/>
    </xf>
    <xf numFmtId="10" fontId="0" fillId="0" borderId="0" xfId="0" applyNumberFormat="1"/>
    <xf numFmtId="16" fontId="0" fillId="0" borderId="0" xfId="0" applyNumberFormat="1"/>
    <xf numFmtId="0" fontId="23" fillId="0" borderId="16" xfId="0" applyFont="1" applyBorder="1" applyAlignment="1">
      <alignment horizontal="center" vertical="center" wrapText="1"/>
    </xf>
    <xf numFmtId="0" fontId="23" fillId="0" borderId="24" xfId="0" applyFont="1" applyBorder="1" applyAlignment="1">
      <alignment horizontal="center" vertical="center" wrapText="1"/>
    </xf>
    <xf numFmtId="0" fontId="23" fillId="16" borderId="16" xfId="0" applyFont="1" applyFill="1" applyBorder="1" applyAlignment="1">
      <alignment horizontal="center" vertical="center" wrapText="1"/>
    </xf>
    <xf numFmtId="0" fontId="23" fillId="16" borderId="24" xfId="0" applyFont="1" applyFill="1" applyBorder="1" applyAlignment="1">
      <alignment horizontal="center" vertical="center" wrapText="1"/>
    </xf>
    <xf numFmtId="0" fontId="23" fillId="0" borderId="31" xfId="0" applyFont="1" applyBorder="1" applyAlignment="1">
      <alignment horizontal="center" vertical="center" wrapText="1"/>
    </xf>
    <xf numFmtId="0" fontId="23" fillId="0" borderId="16" xfId="0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3" fillId="0" borderId="32" xfId="0" applyFont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2" fontId="20" fillId="16" borderId="0" xfId="0" applyNumberFormat="1" applyFont="1" applyFill="1" applyBorder="1" applyAlignment="1">
      <alignment horizontal="center" vertical="center" wrapText="1"/>
    </xf>
    <xf numFmtId="2" fontId="20" fillId="0" borderId="0" xfId="0" applyNumberFormat="1" applyFont="1" applyBorder="1" applyAlignment="1">
      <alignment horizontal="center" vertical="center" wrapText="1"/>
    </xf>
    <xf numFmtId="2" fontId="21" fillId="0" borderId="0" xfId="0" applyNumberFormat="1" applyFont="1" applyBorder="1" applyAlignment="1">
      <alignment horizontal="center" vertical="center" wrapText="1"/>
    </xf>
    <xf numFmtId="2" fontId="19" fillId="0" borderId="0" xfId="0" applyNumberFormat="1" applyFont="1" applyBorder="1"/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C9E392-B675-4967-8A87-6ABCEC33ACC6}" name="Table1" displayName="Table1" ref="A37:F47" totalsRowShown="0" headerRowCellStyle="Normal" dataCellStyle="Normal">
  <autoFilter ref="A37:F47" xr:uid="{DCC9E392-B675-4967-8A87-6ABCEC33ACC6}"/>
  <tableColumns count="6">
    <tableColumn id="1" xr3:uid="{2B601C0C-F104-4200-BBF8-CD4C9CCF27FA}" name="Column1" dataCellStyle="Normal"/>
    <tableColumn id="2" xr3:uid="{52BC0AAD-2FA3-4D85-B88F-D2C7097FF04B}" name="Column2" dataCellStyle="Normal"/>
    <tableColumn id="3" xr3:uid="{21B2A865-725D-4CBD-8F60-3C6BE4036C91}" name="Column3" dataCellStyle="Normal"/>
    <tableColumn id="4" xr3:uid="{249C862B-7683-4CA2-A9FB-025BBF8BE124}" name="Column4" dataCellStyle="Normal"/>
    <tableColumn id="5" xr3:uid="{DCFE6812-9341-463E-ADC6-0CE689948F74}" name="Column5" dataCellStyle="Normal"/>
    <tableColumn id="6" xr3:uid="{AEB96574-5B9A-4C9A-8A67-1B65B51DFF5D}" name="Column6" dataCellStyle="Normal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95C07-5C82-4D1A-9596-A32E67B599A0}">
  <dimension ref="A1:I47"/>
  <sheetViews>
    <sheetView workbookViewId="0">
      <selection activeCell="L19" sqref="L19"/>
    </sheetView>
  </sheetViews>
  <sheetFormatPr defaultRowHeight="13.2"/>
  <sheetData>
    <row r="1" spans="1:5" ht="13.8">
      <c r="A1" s="76" t="s">
        <v>123</v>
      </c>
      <c r="B1" t="s">
        <v>124</v>
      </c>
      <c r="E1" t="s">
        <v>125</v>
      </c>
    </row>
    <row r="2" spans="1:5" ht="13.8">
      <c r="A2" s="76" t="s">
        <v>126</v>
      </c>
      <c r="B2" t="s">
        <v>127</v>
      </c>
      <c r="E2" t="s">
        <v>125</v>
      </c>
    </row>
    <row r="3" spans="1:5" ht="13.8">
      <c r="A3" s="76" t="s">
        <v>128</v>
      </c>
      <c r="B3" t="s">
        <v>129</v>
      </c>
      <c r="E3" t="s">
        <v>130</v>
      </c>
    </row>
    <row r="4" spans="1:5" ht="13.8">
      <c r="A4" s="76" t="s">
        <v>131</v>
      </c>
      <c r="B4" t="s">
        <v>132</v>
      </c>
      <c r="E4" t="s">
        <v>133</v>
      </c>
    </row>
    <row r="5" spans="1:5" ht="13.8">
      <c r="A5" s="76" t="s">
        <v>134</v>
      </c>
      <c r="B5" t="s">
        <v>129</v>
      </c>
      <c r="E5" t="s">
        <v>135</v>
      </c>
    </row>
    <row r="6" spans="1:5">
      <c r="A6" t="s">
        <v>136</v>
      </c>
      <c r="B6" t="s">
        <v>135</v>
      </c>
    </row>
    <row r="7" spans="1:5" ht="13.8">
      <c r="A7" t="s">
        <v>137</v>
      </c>
      <c r="B7" s="120" t="s">
        <v>138</v>
      </c>
    </row>
    <row r="8" spans="1:5">
      <c r="A8" t="s">
        <v>139</v>
      </c>
    </row>
    <row r="9" spans="1:5">
      <c r="A9" t="s">
        <v>140</v>
      </c>
      <c r="B9" t="s">
        <v>141</v>
      </c>
    </row>
    <row r="10" spans="1:5">
      <c r="A10" t="s">
        <v>142</v>
      </c>
      <c r="B10" t="s">
        <v>143</v>
      </c>
    </row>
    <row r="11" spans="1:5">
      <c r="A11" t="s">
        <v>144</v>
      </c>
      <c r="B11" t="s">
        <v>145</v>
      </c>
    </row>
    <row r="18" spans="3:4">
      <c r="C18" t="s">
        <v>112</v>
      </c>
      <c r="D18" t="s">
        <v>146</v>
      </c>
    </row>
    <row r="19" spans="3:4">
      <c r="C19" t="s">
        <v>113</v>
      </c>
      <c r="D19" t="s">
        <v>147</v>
      </c>
    </row>
    <row r="21" spans="3:4">
      <c r="C21" t="s">
        <v>148</v>
      </c>
      <c r="D21" s="121" t="s">
        <v>149</v>
      </c>
    </row>
    <row r="23" spans="3:4">
      <c r="C23" t="s">
        <v>150</v>
      </c>
    </row>
    <row r="24" spans="3:4" ht="13.8">
      <c r="C24" t="s">
        <v>151</v>
      </c>
    </row>
    <row r="28" spans="3:4">
      <c r="C28" t="s">
        <v>152</v>
      </c>
    </row>
    <row r="30" spans="3:4">
      <c r="C30" t="s">
        <v>153</v>
      </c>
    </row>
    <row r="33" spans="1:9">
      <c r="C33" s="122" t="s">
        <v>154</v>
      </c>
    </row>
    <row r="36" spans="1:9">
      <c r="B36" t="s">
        <v>155</v>
      </c>
      <c r="I36" t="s">
        <v>156</v>
      </c>
    </row>
    <row r="37" spans="1:9">
      <c r="A37" t="s">
        <v>157</v>
      </c>
      <c r="B37" t="s">
        <v>158</v>
      </c>
      <c r="C37" t="s">
        <v>159</v>
      </c>
      <c r="D37" t="s">
        <v>160</v>
      </c>
      <c r="E37" t="s">
        <v>161</v>
      </c>
      <c r="F37" t="s">
        <v>162</v>
      </c>
    </row>
    <row r="38" spans="1:9">
      <c r="A38" t="s">
        <v>163</v>
      </c>
    </row>
    <row r="39" spans="1:9">
      <c r="A39">
        <v>1</v>
      </c>
      <c r="B39" t="s">
        <v>164</v>
      </c>
      <c r="C39" t="s">
        <v>165</v>
      </c>
      <c r="D39" t="s">
        <v>166</v>
      </c>
    </row>
    <row r="40" spans="1:9">
      <c r="A40">
        <v>2</v>
      </c>
      <c r="B40" t="s">
        <v>104</v>
      </c>
      <c r="C40" t="s">
        <v>105</v>
      </c>
      <c r="D40" t="s">
        <v>106</v>
      </c>
      <c r="E40" t="s">
        <v>107</v>
      </c>
      <c r="F40" t="s">
        <v>108</v>
      </c>
    </row>
    <row r="41" spans="1:9">
      <c r="A41">
        <v>4</v>
      </c>
      <c r="B41" t="s">
        <v>91</v>
      </c>
      <c r="C41" t="s">
        <v>103</v>
      </c>
    </row>
    <row r="42" spans="1:9">
      <c r="A42">
        <v>8</v>
      </c>
      <c r="B42" t="s">
        <v>102</v>
      </c>
      <c r="C42" t="s">
        <v>100</v>
      </c>
      <c r="D42" t="s">
        <v>99</v>
      </c>
    </row>
    <row r="43" spans="1:9">
      <c r="A43">
        <v>10</v>
      </c>
      <c r="B43" t="s">
        <v>101</v>
      </c>
    </row>
    <row r="44" spans="1:9">
      <c r="A44">
        <v>16</v>
      </c>
      <c r="B44" t="s">
        <v>98</v>
      </c>
      <c r="C44" t="s">
        <v>95</v>
      </c>
    </row>
    <row r="45" spans="1:9">
      <c r="A45">
        <v>20</v>
      </c>
      <c r="B45" t="s">
        <v>92</v>
      </c>
    </row>
    <row r="46" spans="1:9">
      <c r="A46">
        <v>24</v>
      </c>
      <c r="B46" t="s">
        <v>97</v>
      </c>
      <c r="C46" t="s">
        <v>94</v>
      </c>
    </row>
    <row r="47" spans="1:9">
      <c r="A47">
        <v>32</v>
      </c>
      <c r="B47" t="s">
        <v>96</v>
      </c>
      <c r="C47" t="s">
        <v>93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1000"/>
  <sheetViews>
    <sheetView workbookViewId="0"/>
  </sheetViews>
  <sheetFormatPr defaultColWidth="12.6640625" defaultRowHeight="15.75" customHeight="1"/>
  <cols>
    <col min="3" max="3" width="31.33203125" customWidth="1"/>
    <col min="4" max="4" width="30" customWidth="1"/>
    <col min="7" max="7" width="18.21875" customWidth="1"/>
    <col min="9" max="9" width="17.6640625" customWidth="1"/>
    <col min="11" max="11" width="17.21875" customWidth="1"/>
    <col min="12" max="12" width="20.77734375" customWidth="1"/>
    <col min="13" max="13" width="31.33203125" customWidth="1"/>
  </cols>
  <sheetData>
    <row r="1" spans="1:13" ht="15.75" customHeight="1">
      <c r="A1" s="1"/>
      <c r="B1" s="1"/>
      <c r="C1" s="1"/>
      <c r="D1" s="1"/>
      <c r="E1" s="1"/>
      <c r="F1" s="63">
        <v>0</v>
      </c>
      <c r="G1" s="64"/>
      <c r="H1" s="65">
        <v>0.2</v>
      </c>
      <c r="I1" s="64"/>
      <c r="J1" s="63">
        <v>0.3</v>
      </c>
      <c r="K1" s="64"/>
      <c r="L1" s="66">
        <v>0.5</v>
      </c>
      <c r="M1" s="62"/>
    </row>
    <row r="2" spans="1:13" ht="15.7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2" t="s">
        <v>5</v>
      </c>
      <c r="G2" s="2" t="s">
        <v>6</v>
      </c>
      <c r="H2" s="3" t="s">
        <v>7</v>
      </c>
      <c r="I2" s="3" t="s">
        <v>8</v>
      </c>
      <c r="J2" s="4" t="s">
        <v>9</v>
      </c>
      <c r="K2" s="4" t="s">
        <v>10</v>
      </c>
      <c r="L2" s="5" t="s">
        <v>11</v>
      </c>
      <c r="M2" s="5" t="s">
        <v>12</v>
      </c>
    </row>
    <row r="3" spans="1:13">
      <c r="A3" s="61" t="s">
        <v>13</v>
      </c>
      <c r="B3" s="67" t="s">
        <v>14</v>
      </c>
      <c r="C3" s="7" t="s">
        <v>15</v>
      </c>
      <c r="D3" s="7" t="s">
        <v>16</v>
      </c>
      <c r="E3" s="7">
        <v>25</v>
      </c>
      <c r="F3" s="8">
        <v>1.35</v>
      </c>
      <c r="G3" s="8" t="e">
        <f t="shared" ref="G3:G12" ca="1" si="0">MULTIPLY(E3,F3)</f>
        <v>#NAME?</v>
      </c>
      <c r="H3" s="9">
        <f t="shared" ref="H3:H12" si="1">F3*(1+20%)</f>
        <v>1.62</v>
      </c>
      <c r="I3" s="9" t="e">
        <f t="shared" ref="I3:I12" ca="1" si="2">MULTIPLY(E3,H3)</f>
        <v>#NAME?</v>
      </c>
      <c r="J3" s="10">
        <f t="shared" ref="J3:J12" si="3">F3*(1+30%)</f>
        <v>1.7550000000000001</v>
      </c>
      <c r="K3" s="11" t="e">
        <f t="shared" ref="K3:K12" ca="1" si="4">MULTIPLY(E3,J3)</f>
        <v>#NAME?</v>
      </c>
      <c r="L3" s="12">
        <f t="shared" ref="L3:L12" si="5">F3*(1+50%)</f>
        <v>2.0250000000000004</v>
      </c>
      <c r="M3" s="13" t="e">
        <f t="shared" ref="M3:M12" ca="1" si="6">MULTIPLY(E3,L3)</f>
        <v>#NAME?</v>
      </c>
    </row>
    <row r="4" spans="1:13">
      <c r="A4" s="62"/>
      <c r="B4" s="62"/>
      <c r="C4" s="7" t="s">
        <v>15</v>
      </c>
      <c r="D4" s="7" t="s">
        <v>16</v>
      </c>
      <c r="E4" s="7">
        <v>50</v>
      </c>
      <c r="F4" s="8">
        <v>1.2</v>
      </c>
      <c r="G4" s="8" t="e">
        <f t="shared" ca="1" si="0"/>
        <v>#NAME?</v>
      </c>
      <c r="H4" s="9">
        <f t="shared" si="1"/>
        <v>1.44</v>
      </c>
      <c r="I4" s="9" t="e">
        <f t="shared" ca="1" si="2"/>
        <v>#NAME?</v>
      </c>
      <c r="J4" s="10">
        <f t="shared" si="3"/>
        <v>1.56</v>
      </c>
      <c r="K4" s="11" t="e">
        <f t="shared" ca="1" si="4"/>
        <v>#NAME?</v>
      </c>
      <c r="L4" s="12">
        <f t="shared" si="5"/>
        <v>1.7999999999999998</v>
      </c>
      <c r="M4" s="13" t="e">
        <f t="shared" ca="1" si="6"/>
        <v>#NAME?</v>
      </c>
    </row>
    <row r="5" spans="1:13">
      <c r="A5" s="62"/>
      <c r="B5" s="62"/>
      <c r="C5" s="7" t="s">
        <v>15</v>
      </c>
      <c r="D5" s="7" t="s">
        <v>16</v>
      </c>
      <c r="E5" s="7">
        <v>100</v>
      </c>
      <c r="F5" s="8">
        <v>1.18</v>
      </c>
      <c r="G5" s="8" t="e">
        <f t="shared" ca="1" si="0"/>
        <v>#NAME?</v>
      </c>
      <c r="H5" s="9">
        <f t="shared" si="1"/>
        <v>1.4159999999999999</v>
      </c>
      <c r="I5" s="9" t="e">
        <f t="shared" ca="1" si="2"/>
        <v>#NAME?</v>
      </c>
      <c r="J5" s="10">
        <f t="shared" si="3"/>
        <v>1.534</v>
      </c>
      <c r="K5" s="11" t="e">
        <f t="shared" ca="1" si="4"/>
        <v>#NAME?</v>
      </c>
      <c r="L5" s="12">
        <f t="shared" si="5"/>
        <v>1.77</v>
      </c>
      <c r="M5" s="13" t="e">
        <f t="shared" ca="1" si="6"/>
        <v>#NAME?</v>
      </c>
    </row>
    <row r="6" spans="1:13">
      <c r="A6" s="62"/>
      <c r="B6" s="62"/>
      <c r="C6" s="7" t="s">
        <v>15</v>
      </c>
      <c r="D6" s="7" t="s">
        <v>16</v>
      </c>
      <c r="E6" s="7">
        <v>250</v>
      </c>
      <c r="F6" s="8">
        <v>0.92</v>
      </c>
      <c r="G6" s="8" t="e">
        <f t="shared" ca="1" si="0"/>
        <v>#NAME?</v>
      </c>
      <c r="H6" s="9">
        <f t="shared" si="1"/>
        <v>1.1040000000000001</v>
      </c>
      <c r="I6" s="9" t="e">
        <f t="shared" ca="1" si="2"/>
        <v>#NAME?</v>
      </c>
      <c r="J6" s="10">
        <f t="shared" si="3"/>
        <v>1.1960000000000002</v>
      </c>
      <c r="K6" s="11" t="e">
        <f t="shared" ca="1" si="4"/>
        <v>#NAME?</v>
      </c>
      <c r="L6" s="12">
        <f t="shared" si="5"/>
        <v>1.3800000000000001</v>
      </c>
      <c r="M6" s="13" t="e">
        <f t="shared" ca="1" si="6"/>
        <v>#NAME?</v>
      </c>
    </row>
    <row r="7" spans="1:13">
      <c r="A7" s="62"/>
      <c r="B7" s="62"/>
      <c r="C7" s="7" t="s">
        <v>15</v>
      </c>
      <c r="D7" s="7" t="s">
        <v>16</v>
      </c>
      <c r="E7" s="7">
        <v>500</v>
      </c>
      <c r="F7" s="8">
        <v>0.78</v>
      </c>
      <c r="G7" s="8" t="e">
        <f t="shared" ca="1" si="0"/>
        <v>#NAME?</v>
      </c>
      <c r="H7" s="9">
        <f t="shared" si="1"/>
        <v>0.93599999999999994</v>
      </c>
      <c r="I7" s="9" t="e">
        <f t="shared" ca="1" si="2"/>
        <v>#NAME?</v>
      </c>
      <c r="J7" s="10">
        <f t="shared" si="3"/>
        <v>1.014</v>
      </c>
      <c r="K7" s="11" t="e">
        <f t="shared" ca="1" si="4"/>
        <v>#NAME?</v>
      </c>
      <c r="L7" s="12">
        <f t="shared" si="5"/>
        <v>1.17</v>
      </c>
      <c r="M7" s="13" t="e">
        <f t="shared" ca="1" si="6"/>
        <v>#NAME?</v>
      </c>
    </row>
    <row r="8" spans="1:13">
      <c r="A8" s="62"/>
      <c r="B8" s="62"/>
      <c r="C8" s="7" t="s">
        <v>15</v>
      </c>
      <c r="D8" s="7" t="s">
        <v>16</v>
      </c>
      <c r="E8" s="7">
        <v>1000</v>
      </c>
      <c r="F8" s="8">
        <v>0.65</v>
      </c>
      <c r="G8" s="8" t="e">
        <f t="shared" ca="1" si="0"/>
        <v>#NAME?</v>
      </c>
      <c r="H8" s="9">
        <f t="shared" si="1"/>
        <v>0.78</v>
      </c>
      <c r="I8" s="9" t="e">
        <f t="shared" ca="1" si="2"/>
        <v>#NAME?</v>
      </c>
      <c r="J8" s="10">
        <f t="shared" si="3"/>
        <v>0.84500000000000008</v>
      </c>
      <c r="K8" s="11" t="e">
        <f t="shared" ca="1" si="4"/>
        <v>#NAME?</v>
      </c>
      <c r="L8" s="12">
        <f t="shared" si="5"/>
        <v>0.97500000000000009</v>
      </c>
      <c r="M8" s="13" t="e">
        <f t="shared" ca="1" si="6"/>
        <v>#NAME?</v>
      </c>
    </row>
    <row r="9" spans="1:13">
      <c r="A9" s="62"/>
      <c r="B9" s="62"/>
      <c r="C9" s="7" t="s">
        <v>15</v>
      </c>
      <c r="D9" s="7" t="s">
        <v>16</v>
      </c>
      <c r="E9" s="7">
        <v>1500</v>
      </c>
      <c r="F9" s="8">
        <v>0.62</v>
      </c>
      <c r="G9" s="8" t="e">
        <f t="shared" ca="1" si="0"/>
        <v>#NAME?</v>
      </c>
      <c r="H9" s="9">
        <f t="shared" si="1"/>
        <v>0.74399999999999999</v>
      </c>
      <c r="I9" s="9" t="e">
        <f t="shared" ca="1" si="2"/>
        <v>#NAME?</v>
      </c>
      <c r="J9" s="10">
        <f t="shared" si="3"/>
        <v>0.80600000000000005</v>
      </c>
      <c r="K9" s="11" t="e">
        <f t="shared" ca="1" si="4"/>
        <v>#NAME?</v>
      </c>
      <c r="L9" s="12">
        <f t="shared" si="5"/>
        <v>0.92999999999999994</v>
      </c>
      <c r="M9" s="13" t="e">
        <f t="shared" ca="1" si="6"/>
        <v>#NAME?</v>
      </c>
    </row>
    <row r="10" spans="1:13">
      <c r="A10" s="62"/>
      <c r="B10" s="62"/>
      <c r="C10" s="7" t="s">
        <v>15</v>
      </c>
      <c r="D10" s="7" t="s">
        <v>16</v>
      </c>
      <c r="E10" s="7">
        <v>2000</v>
      </c>
      <c r="F10" s="8">
        <v>0.52</v>
      </c>
      <c r="G10" s="8" t="e">
        <f t="shared" ca="1" si="0"/>
        <v>#NAME?</v>
      </c>
      <c r="H10" s="9">
        <f t="shared" si="1"/>
        <v>0.624</v>
      </c>
      <c r="I10" s="9" t="e">
        <f t="shared" ca="1" si="2"/>
        <v>#NAME?</v>
      </c>
      <c r="J10" s="10">
        <f t="shared" si="3"/>
        <v>0.67600000000000005</v>
      </c>
      <c r="K10" s="11" t="e">
        <f t="shared" ca="1" si="4"/>
        <v>#NAME?</v>
      </c>
      <c r="L10" s="12">
        <f t="shared" si="5"/>
        <v>0.78</v>
      </c>
      <c r="M10" s="13" t="e">
        <f t="shared" ca="1" si="6"/>
        <v>#NAME?</v>
      </c>
    </row>
    <row r="11" spans="1:13">
      <c r="A11" s="62"/>
      <c r="B11" s="62"/>
      <c r="C11" s="7" t="s">
        <v>15</v>
      </c>
      <c r="D11" s="7" t="s">
        <v>16</v>
      </c>
      <c r="E11" s="14">
        <v>2500</v>
      </c>
      <c r="F11" s="8">
        <v>0.51</v>
      </c>
      <c r="G11" s="8" t="e">
        <f t="shared" ca="1" si="0"/>
        <v>#NAME?</v>
      </c>
      <c r="H11" s="9">
        <f t="shared" si="1"/>
        <v>0.61199999999999999</v>
      </c>
      <c r="I11" s="9" t="e">
        <f t="shared" ca="1" si="2"/>
        <v>#NAME?</v>
      </c>
      <c r="J11" s="10">
        <f t="shared" si="3"/>
        <v>0.66300000000000003</v>
      </c>
      <c r="K11" s="11" t="e">
        <f t="shared" ca="1" si="4"/>
        <v>#NAME?</v>
      </c>
      <c r="L11" s="12">
        <f t="shared" si="5"/>
        <v>0.76500000000000001</v>
      </c>
      <c r="M11" s="13" t="e">
        <f t="shared" ca="1" si="6"/>
        <v>#NAME?</v>
      </c>
    </row>
    <row r="12" spans="1:13">
      <c r="A12" s="62"/>
      <c r="B12" s="62"/>
      <c r="C12" s="7" t="s">
        <v>15</v>
      </c>
      <c r="D12" s="7" t="s">
        <v>16</v>
      </c>
      <c r="E12" s="14">
        <v>5000</v>
      </c>
      <c r="F12" s="8">
        <v>0.45</v>
      </c>
      <c r="G12" s="8" t="e">
        <f t="shared" ca="1" si="0"/>
        <v>#NAME?</v>
      </c>
      <c r="H12" s="9">
        <f t="shared" si="1"/>
        <v>0.54</v>
      </c>
      <c r="I12" s="9" t="e">
        <f t="shared" ca="1" si="2"/>
        <v>#NAME?</v>
      </c>
      <c r="J12" s="10">
        <f t="shared" si="3"/>
        <v>0.58500000000000008</v>
      </c>
      <c r="K12" s="11" t="e">
        <f t="shared" ca="1" si="4"/>
        <v>#NAME?</v>
      </c>
      <c r="L12" s="12">
        <f t="shared" si="5"/>
        <v>0.67500000000000004</v>
      </c>
      <c r="M12" s="13" t="e">
        <f t="shared" ca="1" si="6"/>
        <v>#NAME?</v>
      </c>
    </row>
    <row r="13" spans="1:13">
      <c r="A13" s="7"/>
      <c r="B13" s="7"/>
      <c r="C13" s="7"/>
      <c r="D13" s="7"/>
      <c r="E13" s="7"/>
      <c r="F13" s="8"/>
      <c r="G13" s="8"/>
      <c r="H13" s="9"/>
      <c r="I13" s="9"/>
      <c r="J13" s="10"/>
      <c r="K13" s="11"/>
      <c r="L13" s="13"/>
      <c r="M13" s="13"/>
    </row>
    <row r="14" spans="1:13">
      <c r="A14" s="7"/>
      <c r="B14" s="7"/>
      <c r="C14" s="7"/>
      <c r="D14" s="7"/>
      <c r="E14" s="7"/>
      <c r="F14" s="8"/>
      <c r="G14" s="8"/>
      <c r="H14" s="9"/>
      <c r="I14" s="9"/>
      <c r="J14" s="10"/>
      <c r="K14" s="11"/>
      <c r="L14" s="13"/>
      <c r="M14" s="13"/>
    </row>
    <row r="15" spans="1:13" ht="15.75" customHeight="1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2" t="s">
        <v>5</v>
      </c>
      <c r="G15" s="2" t="s">
        <v>6</v>
      </c>
      <c r="H15" s="3" t="s">
        <v>7</v>
      </c>
      <c r="I15" s="3" t="s">
        <v>8</v>
      </c>
      <c r="J15" s="4" t="s">
        <v>9</v>
      </c>
      <c r="K15" s="4" t="s">
        <v>10</v>
      </c>
      <c r="L15" s="5" t="s">
        <v>11</v>
      </c>
      <c r="M15" s="5" t="s">
        <v>12</v>
      </c>
    </row>
    <row r="16" spans="1:13">
      <c r="A16" s="61" t="s">
        <v>13</v>
      </c>
      <c r="B16" s="61" t="s">
        <v>17</v>
      </c>
      <c r="C16" s="7" t="s">
        <v>15</v>
      </c>
      <c r="D16" s="7" t="s">
        <v>16</v>
      </c>
      <c r="E16" s="7">
        <v>25</v>
      </c>
      <c r="F16" s="8">
        <v>1.92</v>
      </c>
      <c r="G16" s="8" t="e">
        <f t="shared" ref="G16:G23" ca="1" si="7">MULTIPLY(E16,F16)</f>
        <v>#NAME?</v>
      </c>
      <c r="H16" s="9">
        <f t="shared" ref="H16:H23" si="8">F16*(1+20%)</f>
        <v>2.3039999999999998</v>
      </c>
      <c r="I16" s="9" t="e">
        <f t="shared" ref="I16:I23" ca="1" si="9">MULTIPLY(E16,H16)</f>
        <v>#NAME?</v>
      </c>
      <c r="J16" s="10">
        <f t="shared" ref="J16:J23" si="10">F16*(1+30%)</f>
        <v>2.496</v>
      </c>
      <c r="K16" s="11" t="e">
        <f t="shared" ref="K16:K23" ca="1" si="11">MULTIPLY(E16,J16)</f>
        <v>#NAME?</v>
      </c>
      <c r="L16" s="12">
        <f t="shared" ref="L16:L23" si="12">F16*(1+50%)</f>
        <v>2.88</v>
      </c>
      <c r="M16" s="13" t="e">
        <f t="shared" ref="M16:M23" ca="1" si="13">MULTIPLY(E16,L16)</f>
        <v>#NAME?</v>
      </c>
    </row>
    <row r="17" spans="1:13">
      <c r="A17" s="62"/>
      <c r="B17" s="62"/>
      <c r="C17" s="7" t="s">
        <v>15</v>
      </c>
      <c r="D17" s="7" t="s">
        <v>16</v>
      </c>
      <c r="E17" s="7">
        <v>50</v>
      </c>
      <c r="F17" s="8">
        <v>1.53</v>
      </c>
      <c r="G17" s="8" t="e">
        <f t="shared" ca="1" si="7"/>
        <v>#NAME?</v>
      </c>
      <c r="H17" s="9">
        <f t="shared" si="8"/>
        <v>1.8359999999999999</v>
      </c>
      <c r="I17" s="9" t="e">
        <f t="shared" ca="1" si="9"/>
        <v>#NAME?</v>
      </c>
      <c r="J17" s="10">
        <f t="shared" si="10"/>
        <v>1.9890000000000001</v>
      </c>
      <c r="K17" s="11" t="e">
        <f t="shared" ca="1" si="11"/>
        <v>#NAME?</v>
      </c>
      <c r="L17" s="12">
        <f t="shared" si="12"/>
        <v>2.2949999999999999</v>
      </c>
      <c r="M17" s="13" t="e">
        <f t="shared" ca="1" si="13"/>
        <v>#NAME?</v>
      </c>
    </row>
    <row r="18" spans="1:13">
      <c r="A18" s="62"/>
      <c r="B18" s="62"/>
      <c r="C18" s="7" t="s">
        <v>15</v>
      </c>
      <c r="D18" s="7" t="s">
        <v>16</v>
      </c>
      <c r="E18" s="7">
        <v>100</v>
      </c>
      <c r="F18" s="8">
        <v>1.22</v>
      </c>
      <c r="G18" s="8" t="e">
        <f t="shared" ca="1" si="7"/>
        <v>#NAME?</v>
      </c>
      <c r="H18" s="9">
        <f t="shared" si="8"/>
        <v>1.464</v>
      </c>
      <c r="I18" s="9" t="e">
        <f t="shared" ca="1" si="9"/>
        <v>#NAME?</v>
      </c>
      <c r="J18" s="10">
        <f t="shared" si="10"/>
        <v>1.5860000000000001</v>
      </c>
      <c r="K18" s="11" t="e">
        <f t="shared" ca="1" si="11"/>
        <v>#NAME?</v>
      </c>
      <c r="L18" s="12">
        <f t="shared" si="12"/>
        <v>1.83</v>
      </c>
      <c r="M18" s="13" t="e">
        <f t="shared" ca="1" si="13"/>
        <v>#NAME?</v>
      </c>
    </row>
    <row r="19" spans="1:13">
      <c r="A19" s="62"/>
      <c r="B19" s="62"/>
      <c r="C19" s="7" t="s">
        <v>15</v>
      </c>
      <c r="D19" s="7" t="s">
        <v>16</v>
      </c>
      <c r="E19" s="7">
        <v>250</v>
      </c>
      <c r="F19" s="8">
        <v>0.75</v>
      </c>
      <c r="G19" s="8" t="e">
        <f t="shared" ca="1" si="7"/>
        <v>#NAME?</v>
      </c>
      <c r="H19" s="9">
        <f t="shared" si="8"/>
        <v>0.89999999999999991</v>
      </c>
      <c r="I19" s="9" t="e">
        <f t="shared" ca="1" si="9"/>
        <v>#NAME?</v>
      </c>
      <c r="J19" s="10">
        <f t="shared" si="10"/>
        <v>0.97500000000000009</v>
      </c>
      <c r="K19" s="11" t="e">
        <f t="shared" ca="1" si="11"/>
        <v>#NAME?</v>
      </c>
      <c r="L19" s="12">
        <f t="shared" si="12"/>
        <v>1.125</v>
      </c>
      <c r="M19" s="13" t="e">
        <f t="shared" ca="1" si="13"/>
        <v>#NAME?</v>
      </c>
    </row>
    <row r="20" spans="1:13">
      <c r="A20" s="62"/>
      <c r="B20" s="62"/>
      <c r="C20" s="7" t="s">
        <v>15</v>
      </c>
      <c r="D20" s="7" t="s">
        <v>16</v>
      </c>
      <c r="E20" s="7">
        <v>500</v>
      </c>
      <c r="F20" s="8">
        <v>0.62</v>
      </c>
      <c r="G20" s="8" t="e">
        <f t="shared" ca="1" si="7"/>
        <v>#NAME?</v>
      </c>
      <c r="H20" s="9">
        <f t="shared" si="8"/>
        <v>0.74399999999999999</v>
      </c>
      <c r="I20" s="9" t="e">
        <f t="shared" ca="1" si="9"/>
        <v>#NAME?</v>
      </c>
      <c r="J20" s="10">
        <f t="shared" si="10"/>
        <v>0.80600000000000005</v>
      </c>
      <c r="K20" s="11" t="e">
        <f t="shared" ca="1" si="11"/>
        <v>#NAME?</v>
      </c>
      <c r="L20" s="12">
        <f t="shared" si="12"/>
        <v>0.92999999999999994</v>
      </c>
      <c r="M20" s="13" t="e">
        <f t="shared" ca="1" si="13"/>
        <v>#NAME?</v>
      </c>
    </row>
    <row r="21" spans="1:13">
      <c r="A21" s="62"/>
      <c r="B21" s="62"/>
      <c r="C21" s="7" t="s">
        <v>15</v>
      </c>
      <c r="D21" s="7" t="s">
        <v>16</v>
      </c>
      <c r="E21" s="7">
        <v>1000</v>
      </c>
      <c r="F21" s="8">
        <v>0.51</v>
      </c>
      <c r="G21" s="8" t="e">
        <f t="shared" ca="1" si="7"/>
        <v>#NAME?</v>
      </c>
      <c r="H21" s="9">
        <f t="shared" si="8"/>
        <v>0.61199999999999999</v>
      </c>
      <c r="I21" s="9" t="e">
        <f t="shared" ca="1" si="9"/>
        <v>#NAME?</v>
      </c>
      <c r="J21" s="10">
        <f t="shared" si="10"/>
        <v>0.66300000000000003</v>
      </c>
      <c r="K21" s="11" t="e">
        <f t="shared" ca="1" si="11"/>
        <v>#NAME?</v>
      </c>
      <c r="L21" s="12">
        <f t="shared" si="12"/>
        <v>0.76500000000000001</v>
      </c>
      <c r="M21" s="13" t="e">
        <f t="shared" ca="1" si="13"/>
        <v>#NAME?</v>
      </c>
    </row>
    <row r="22" spans="1:13">
      <c r="A22" s="62"/>
      <c r="B22" s="62"/>
      <c r="C22" s="7" t="s">
        <v>15</v>
      </c>
      <c r="D22" s="7" t="s">
        <v>16</v>
      </c>
      <c r="E22" s="7">
        <v>2500</v>
      </c>
      <c r="F22" s="8">
        <v>0.28999999999999998</v>
      </c>
      <c r="G22" s="8" t="e">
        <f t="shared" ca="1" si="7"/>
        <v>#NAME?</v>
      </c>
      <c r="H22" s="9">
        <f t="shared" si="8"/>
        <v>0.34799999999999998</v>
      </c>
      <c r="I22" s="9" t="e">
        <f t="shared" ca="1" si="9"/>
        <v>#NAME?</v>
      </c>
      <c r="J22" s="10">
        <f t="shared" si="10"/>
        <v>0.377</v>
      </c>
      <c r="K22" s="11" t="e">
        <f t="shared" ca="1" si="11"/>
        <v>#NAME?</v>
      </c>
      <c r="L22" s="12">
        <f t="shared" si="12"/>
        <v>0.43499999999999994</v>
      </c>
      <c r="M22" s="13" t="e">
        <f t="shared" ca="1" si="13"/>
        <v>#NAME?</v>
      </c>
    </row>
    <row r="23" spans="1:13">
      <c r="A23" s="62"/>
      <c r="B23" s="62"/>
      <c r="C23" s="7" t="s">
        <v>15</v>
      </c>
      <c r="D23" s="7" t="s">
        <v>16</v>
      </c>
      <c r="E23" s="7">
        <v>5000</v>
      </c>
      <c r="F23" s="8">
        <v>0.22</v>
      </c>
      <c r="G23" s="8" t="e">
        <f t="shared" ca="1" si="7"/>
        <v>#NAME?</v>
      </c>
      <c r="H23" s="9">
        <f t="shared" si="8"/>
        <v>0.26400000000000001</v>
      </c>
      <c r="I23" s="9" t="e">
        <f t="shared" ca="1" si="9"/>
        <v>#NAME?</v>
      </c>
      <c r="J23" s="10">
        <f t="shared" si="10"/>
        <v>0.28600000000000003</v>
      </c>
      <c r="K23" s="11" t="e">
        <f t="shared" ca="1" si="11"/>
        <v>#NAME?</v>
      </c>
      <c r="L23" s="12">
        <f t="shared" si="12"/>
        <v>0.33</v>
      </c>
      <c r="M23" s="13" t="e">
        <f t="shared" ca="1" si="13"/>
        <v>#NAME?</v>
      </c>
    </row>
    <row r="24" spans="1:13">
      <c r="A24" s="7"/>
      <c r="B24" s="7"/>
      <c r="C24" s="7"/>
      <c r="D24" s="7"/>
      <c r="E24" s="7"/>
      <c r="F24" s="8"/>
      <c r="G24" s="8"/>
      <c r="H24" s="9"/>
      <c r="I24" s="9"/>
      <c r="J24" s="10"/>
      <c r="K24" s="11"/>
      <c r="L24" s="13"/>
      <c r="M24" s="13"/>
    </row>
    <row r="25" spans="1:13">
      <c r="A25" s="7"/>
      <c r="B25" s="7"/>
      <c r="C25" s="7"/>
      <c r="D25" s="7"/>
      <c r="E25" s="7"/>
      <c r="F25" s="8"/>
      <c r="G25" s="8"/>
      <c r="H25" s="9"/>
      <c r="I25" s="9"/>
      <c r="J25" s="10"/>
      <c r="K25" s="11"/>
      <c r="L25" s="13"/>
      <c r="M25" s="13"/>
    </row>
    <row r="26" spans="1:13">
      <c r="A26" s="7"/>
      <c r="B26" s="7"/>
      <c r="C26" s="7"/>
      <c r="D26" s="7"/>
      <c r="E26" s="7"/>
      <c r="F26" s="8"/>
      <c r="G26" s="8"/>
      <c r="H26" s="9"/>
      <c r="I26" s="9"/>
      <c r="J26" s="10"/>
      <c r="K26" s="11"/>
      <c r="L26" s="13"/>
      <c r="M26" s="13"/>
    </row>
    <row r="27" spans="1:13" ht="15.75" customHeight="1">
      <c r="A27" s="1" t="s">
        <v>0</v>
      </c>
      <c r="B27" s="1" t="s">
        <v>1</v>
      </c>
      <c r="C27" s="1" t="s">
        <v>2</v>
      </c>
      <c r="D27" s="1" t="s">
        <v>3</v>
      </c>
      <c r="E27" s="1" t="s">
        <v>4</v>
      </c>
      <c r="F27" s="2" t="s">
        <v>5</v>
      </c>
      <c r="G27" s="2" t="s">
        <v>6</v>
      </c>
      <c r="H27" s="3" t="s">
        <v>7</v>
      </c>
      <c r="I27" s="3" t="s">
        <v>8</v>
      </c>
      <c r="J27" s="4" t="s">
        <v>9</v>
      </c>
      <c r="K27" s="4" t="s">
        <v>10</v>
      </c>
      <c r="L27" s="5" t="s">
        <v>11</v>
      </c>
      <c r="M27" s="5" t="s">
        <v>12</v>
      </c>
    </row>
    <row r="28" spans="1:13">
      <c r="A28" s="61" t="s">
        <v>13</v>
      </c>
      <c r="B28" s="61" t="s">
        <v>18</v>
      </c>
      <c r="C28" s="7" t="s">
        <v>15</v>
      </c>
      <c r="D28" s="7" t="s">
        <v>16</v>
      </c>
      <c r="E28" s="7">
        <v>25</v>
      </c>
      <c r="F28" s="8">
        <v>1.95</v>
      </c>
      <c r="G28" s="8" t="e">
        <f t="shared" ref="G28:G35" ca="1" si="14">MULTIPLY(E28,F28)</f>
        <v>#NAME?</v>
      </c>
      <c r="H28" s="9">
        <f t="shared" ref="H28:H35" si="15">F28*(1+20%)</f>
        <v>2.34</v>
      </c>
      <c r="I28" s="9" t="e">
        <f t="shared" ref="I28:I35" ca="1" si="16">MULTIPLY(E28,H28)</f>
        <v>#NAME?</v>
      </c>
      <c r="J28" s="10">
        <f t="shared" ref="J28:J35" si="17">F28*(1+30%)</f>
        <v>2.5350000000000001</v>
      </c>
      <c r="K28" s="11" t="e">
        <f t="shared" ref="K28:K35" ca="1" si="18">MULTIPLY(E28,J28)</f>
        <v>#NAME?</v>
      </c>
      <c r="L28" s="12">
        <f t="shared" ref="L28:L35" si="19">F28*(1+50%)</f>
        <v>2.9249999999999998</v>
      </c>
      <c r="M28" s="13" t="e">
        <f t="shared" ref="M28:M35" ca="1" si="20">MULTIPLY(E28,L28)</f>
        <v>#NAME?</v>
      </c>
    </row>
    <row r="29" spans="1:13">
      <c r="A29" s="62"/>
      <c r="B29" s="62"/>
      <c r="C29" s="7" t="s">
        <v>15</v>
      </c>
      <c r="D29" s="7" t="s">
        <v>16</v>
      </c>
      <c r="E29" s="7">
        <v>50</v>
      </c>
      <c r="F29" s="8">
        <v>1.77</v>
      </c>
      <c r="G29" s="8" t="e">
        <f t="shared" ca="1" si="14"/>
        <v>#NAME?</v>
      </c>
      <c r="H29" s="9">
        <f t="shared" si="15"/>
        <v>2.1240000000000001</v>
      </c>
      <c r="I29" s="9" t="e">
        <f t="shared" ca="1" si="16"/>
        <v>#NAME?</v>
      </c>
      <c r="J29" s="10">
        <f t="shared" si="17"/>
        <v>2.3010000000000002</v>
      </c>
      <c r="K29" s="11" t="e">
        <f t="shared" ca="1" si="18"/>
        <v>#NAME?</v>
      </c>
      <c r="L29" s="12">
        <f t="shared" si="19"/>
        <v>2.6550000000000002</v>
      </c>
      <c r="M29" s="13" t="e">
        <f t="shared" ca="1" si="20"/>
        <v>#NAME?</v>
      </c>
    </row>
    <row r="30" spans="1:13">
      <c r="A30" s="62"/>
      <c r="B30" s="62"/>
      <c r="C30" s="7" t="s">
        <v>15</v>
      </c>
      <c r="D30" s="7" t="s">
        <v>16</v>
      </c>
      <c r="E30" s="7">
        <v>100</v>
      </c>
      <c r="F30" s="8">
        <v>1.52</v>
      </c>
      <c r="G30" s="8" t="e">
        <f t="shared" ca="1" si="14"/>
        <v>#NAME?</v>
      </c>
      <c r="H30" s="9">
        <f t="shared" si="15"/>
        <v>1.8239999999999998</v>
      </c>
      <c r="I30" s="9" t="e">
        <f t="shared" ca="1" si="16"/>
        <v>#NAME?</v>
      </c>
      <c r="J30" s="10">
        <f t="shared" si="17"/>
        <v>1.9760000000000002</v>
      </c>
      <c r="K30" s="11" t="e">
        <f t="shared" ca="1" si="18"/>
        <v>#NAME?</v>
      </c>
      <c r="L30" s="12">
        <f t="shared" si="19"/>
        <v>2.2800000000000002</v>
      </c>
      <c r="M30" s="13" t="e">
        <f t="shared" ca="1" si="20"/>
        <v>#NAME?</v>
      </c>
    </row>
    <row r="31" spans="1:13">
      <c r="A31" s="62"/>
      <c r="B31" s="62"/>
      <c r="C31" s="7" t="s">
        <v>15</v>
      </c>
      <c r="D31" s="7" t="s">
        <v>16</v>
      </c>
      <c r="E31" s="7">
        <v>250</v>
      </c>
      <c r="F31" s="8">
        <v>1.33</v>
      </c>
      <c r="G31" s="8" t="e">
        <f t="shared" ca="1" si="14"/>
        <v>#NAME?</v>
      </c>
      <c r="H31" s="9">
        <f t="shared" si="15"/>
        <v>1.5960000000000001</v>
      </c>
      <c r="I31" s="9" t="e">
        <f t="shared" ca="1" si="16"/>
        <v>#NAME?</v>
      </c>
      <c r="J31" s="10">
        <f t="shared" si="17"/>
        <v>1.7290000000000001</v>
      </c>
      <c r="K31" s="11" t="e">
        <f t="shared" ca="1" si="18"/>
        <v>#NAME?</v>
      </c>
      <c r="L31" s="12">
        <f t="shared" si="19"/>
        <v>1.9950000000000001</v>
      </c>
      <c r="M31" s="13" t="e">
        <f t="shared" ca="1" si="20"/>
        <v>#NAME?</v>
      </c>
    </row>
    <row r="32" spans="1:13">
      <c r="A32" s="62"/>
      <c r="B32" s="62"/>
      <c r="C32" s="7" t="s">
        <v>15</v>
      </c>
      <c r="D32" s="7" t="s">
        <v>16</v>
      </c>
      <c r="E32" s="7">
        <v>500</v>
      </c>
      <c r="F32" s="8">
        <v>1.07</v>
      </c>
      <c r="G32" s="8" t="e">
        <f t="shared" ca="1" si="14"/>
        <v>#NAME?</v>
      </c>
      <c r="H32" s="9">
        <f t="shared" si="15"/>
        <v>1.284</v>
      </c>
      <c r="I32" s="9" t="e">
        <f t="shared" ca="1" si="16"/>
        <v>#NAME?</v>
      </c>
      <c r="J32" s="10">
        <f t="shared" si="17"/>
        <v>1.3910000000000002</v>
      </c>
      <c r="K32" s="11" t="e">
        <f t="shared" ca="1" si="18"/>
        <v>#NAME?</v>
      </c>
      <c r="L32" s="12">
        <f t="shared" si="19"/>
        <v>1.605</v>
      </c>
      <c r="M32" s="13" t="e">
        <f t="shared" ca="1" si="20"/>
        <v>#NAME?</v>
      </c>
    </row>
    <row r="33" spans="1:13">
      <c r="A33" s="62"/>
      <c r="B33" s="62"/>
      <c r="C33" s="7" t="s">
        <v>15</v>
      </c>
      <c r="D33" s="7" t="s">
        <v>16</v>
      </c>
      <c r="E33" s="7">
        <v>1000</v>
      </c>
      <c r="F33" s="8">
        <v>0.85</v>
      </c>
      <c r="G33" s="8" t="e">
        <f t="shared" ca="1" si="14"/>
        <v>#NAME?</v>
      </c>
      <c r="H33" s="9">
        <f t="shared" si="15"/>
        <v>1.02</v>
      </c>
      <c r="I33" s="9" t="e">
        <f t="shared" ca="1" si="16"/>
        <v>#NAME?</v>
      </c>
      <c r="J33" s="10">
        <f t="shared" si="17"/>
        <v>1.105</v>
      </c>
      <c r="K33" s="11" t="e">
        <f t="shared" ca="1" si="18"/>
        <v>#NAME?</v>
      </c>
      <c r="L33" s="12">
        <f t="shared" si="19"/>
        <v>1.2749999999999999</v>
      </c>
      <c r="M33" s="13" t="e">
        <f t="shared" ca="1" si="20"/>
        <v>#NAME?</v>
      </c>
    </row>
    <row r="34" spans="1:13">
      <c r="A34" s="62"/>
      <c r="B34" s="62"/>
      <c r="C34" s="7" t="s">
        <v>15</v>
      </c>
      <c r="D34" s="7" t="s">
        <v>16</v>
      </c>
      <c r="E34" s="7">
        <v>2500</v>
      </c>
      <c r="F34" s="8">
        <v>0.37</v>
      </c>
      <c r="G34" s="8" t="e">
        <f t="shared" ca="1" si="14"/>
        <v>#NAME?</v>
      </c>
      <c r="H34" s="9">
        <f t="shared" si="15"/>
        <v>0.44400000000000001</v>
      </c>
      <c r="I34" s="9" t="e">
        <f t="shared" ca="1" si="16"/>
        <v>#NAME?</v>
      </c>
      <c r="J34" s="10">
        <f t="shared" si="17"/>
        <v>0.48099999999999998</v>
      </c>
      <c r="K34" s="11" t="e">
        <f t="shared" ca="1" si="18"/>
        <v>#NAME?</v>
      </c>
      <c r="L34" s="12">
        <f t="shared" si="19"/>
        <v>0.55499999999999994</v>
      </c>
      <c r="M34" s="13" t="e">
        <f t="shared" ca="1" si="20"/>
        <v>#NAME?</v>
      </c>
    </row>
    <row r="35" spans="1:13">
      <c r="A35" s="62"/>
      <c r="B35" s="62"/>
      <c r="C35" s="7" t="s">
        <v>15</v>
      </c>
      <c r="D35" s="7" t="s">
        <v>16</v>
      </c>
      <c r="E35" s="7">
        <v>5000</v>
      </c>
      <c r="F35" s="8">
        <v>0.28999999999999998</v>
      </c>
      <c r="G35" s="8" t="e">
        <f t="shared" ca="1" si="14"/>
        <v>#NAME?</v>
      </c>
      <c r="H35" s="9">
        <f t="shared" si="15"/>
        <v>0.34799999999999998</v>
      </c>
      <c r="I35" s="9" t="e">
        <f t="shared" ca="1" si="16"/>
        <v>#NAME?</v>
      </c>
      <c r="J35" s="10">
        <f t="shared" si="17"/>
        <v>0.377</v>
      </c>
      <c r="K35" s="11" t="e">
        <f t="shared" ca="1" si="18"/>
        <v>#NAME?</v>
      </c>
      <c r="L35" s="12">
        <f t="shared" si="19"/>
        <v>0.43499999999999994</v>
      </c>
      <c r="M35" s="13" t="e">
        <f t="shared" ca="1" si="20"/>
        <v>#NAME?</v>
      </c>
    </row>
    <row r="36" spans="1:13">
      <c r="F36" s="15"/>
      <c r="G36" s="15"/>
      <c r="H36" s="16"/>
      <c r="I36" s="16"/>
      <c r="J36" s="11"/>
      <c r="K36" s="11"/>
      <c r="L36" s="13"/>
      <c r="M36" s="13"/>
    </row>
    <row r="37" spans="1:13">
      <c r="F37" s="15"/>
      <c r="G37" s="15"/>
      <c r="H37" s="16"/>
      <c r="I37" s="16"/>
      <c r="J37" s="11"/>
      <c r="K37" s="11"/>
      <c r="L37" s="13"/>
      <c r="M37" s="13"/>
    </row>
    <row r="38" spans="1:13">
      <c r="F38" s="15"/>
      <c r="G38" s="15"/>
      <c r="H38" s="16"/>
      <c r="I38" s="16"/>
      <c r="J38" s="11"/>
      <c r="K38" s="11"/>
      <c r="L38" s="13"/>
      <c r="M38" s="13"/>
    </row>
    <row r="39" spans="1:13">
      <c r="F39" s="15"/>
      <c r="G39" s="15"/>
      <c r="H39" s="16"/>
      <c r="I39" s="16"/>
      <c r="J39" s="11"/>
      <c r="K39" s="11"/>
      <c r="L39" s="13"/>
      <c r="M39" s="13"/>
    </row>
    <row r="40" spans="1:13">
      <c r="F40" s="15"/>
      <c r="G40" s="15"/>
      <c r="H40" s="16"/>
      <c r="I40" s="16"/>
      <c r="J40" s="11"/>
      <c r="K40" s="11"/>
      <c r="L40" s="13"/>
      <c r="M40" s="13"/>
    </row>
    <row r="41" spans="1:13" ht="13.2">
      <c r="F41" s="15"/>
      <c r="G41" s="15"/>
      <c r="H41" s="16"/>
      <c r="I41" s="16"/>
      <c r="J41" s="11"/>
      <c r="K41" s="11"/>
      <c r="L41" s="13"/>
      <c r="M41" s="13"/>
    </row>
    <row r="42" spans="1:13" ht="13.2">
      <c r="F42" s="15"/>
      <c r="G42" s="15"/>
      <c r="H42" s="16"/>
      <c r="I42" s="16"/>
      <c r="J42" s="11"/>
      <c r="K42" s="11"/>
      <c r="L42" s="13"/>
      <c r="M42" s="13"/>
    </row>
    <row r="43" spans="1:13" ht="13.2">
      <c r="F43" s="15"/>
      <c r="G43" s="15"/>
      <c r="H43" s="16"/>
      <c r="I43" s="16"/>
      <c r="J43" s="11"/>
      <c r="K43" s="11"/>
      <c r="L43" s="13"/>
      <c r="M43" s="13"/>
    </row>
    <row r="44" spans="1:13" ht="13.2">
      <c r="F44" s="15"/>
      <c r="G44" s="15"/>
      <c r="H44" s="16"/>
      <c r="I44" s="16"/>
      <c r="J44" s="11"/>
      <c r="K44" s="11"/>
      <c r="L44" s="13"/>
      <c r="M44" s="13"/>
    </row>
    <row r="45" spans="1:13" ht="13.2">
      <c r="F45" s="15"/>
      <c r="G45" s="15"/>
      <c r="H45" s="16"/>
      <c r="I45" s="16"/>
      <c r="J45" s="11"/>
      <c r="K45" s="11"/>
      <c r="L45" s="13"/>
      <c r="M45" s="13"/>
    </row>
    <row r="46" spans="1:13" ht="13.2">
      <c r="F46" s="15"/>
      <c r="G46" s="15"/>
      <c r="H46" s="16"/>
      <c r="I46" s="16"/>
      <c r="J46" s="11"/>
      <c r="K46" s="11"/>
      <c r="L46" s="13"/>
      <c r="M46" s="13"/>
    </row>
    <row r="47" spans="1:13" ht="13.2">
      <c r="F47" s="15"/>
      <c r="G47" s="15"/>
      <c r="H47" s="16"/>
      <c r="I47" s="16"/>
      <c r="J47" s="11"/>
      <c r="K47" s="11"/>
      <c r="L47" s="13"/>
      <c r="M47" s="13"/>
    </row>
    <row r="48" spans="1:13" ht="13.2">
      <c r="F48" s="15"/>
      <c r="G48" s="15"/>
      <c r="H48" s="16"/>
      <c r="I48" s="16"/>
      <c r="J48" s="11"/>
      <c r="K48" s="11"/>
      <c r="L48" s="13"/>
      <c r="M48" s="13"/>
    </row>
    <row r="49" spans="6:13" ht="13.2">
      <c r="F49" s="15"/>
      <c r="G49" s="15"/>
      <c r="H49" s="16"/>
      <c r="I49" s="16"/>
      <c r="J49" s="11"/>
      <c r="K49" s="11"/>
      <c r="L49" s="13"/>
      <c r="M49" s="13"/>
    </row>
    <row r="50" spans="6:13" ht="13.2">
      <c r="F50" s="15"/>
      <c r="G50" s="15"/>
      <c r="H50" s="16"/>
      <c r="I50" s="16"/>
      <c r="J50" s="11"/>
      <c r="K50" s="11"/>
      <c r="L50" s="13"/>
      <c r="M50" s="13"/>
    </row>
    <row r="51" spans="6:13" ht="13.2">
      <c r="F51" s="15"/>
      <c r="G51" s="15"/>
      <c r="H51" s="16"/>
      <c r="I51" s="16"/>
      <c r="J51" s="11"/>
      <c r="K51" s="11"/>
      <c r="L51" s="13"/>
      <c r="M51" s="13"/>
    </row>
    <row r="52" spans="6:13" ht="13.2">
      <c r="F52" s="15"/>
      <c r="G52" s="15"/>
      <c r="H52" s="16"/>
      <c r="I52" s="16"/>
      <c r="J52" s="11"/>
      <c r="K52" s="11"/>
      <c r="L52" s="13"/>
      <c r="M52" s="13"/>
    </row>
    <row r="53" spans="6:13" ht="13.2">
      <c r="F53" s="15"/>
      <c r="G53" s="15"/>
      <c r="H53" s="16"/>
      <c r="I53" s="16"/>
      <c r="J53" s="11"/>
      <c r="K53" s="11"/>
      <c r="L53" s="13"/>
      <c r="M53" s="13"/>
    </row>
    <row r="54" spans="6:13" ht="13.2">
      <c r="F54" s="15"/>
      <c r="G54" s="15"/>
      <c r="H54" s="16"/>
      <c r="I54" s="16"/>
      <c r="J54" s="11"/>
      <c r="K54" s="11"/>
      <c r="L54" s="13"/>
      <c r="M54" s="13"/>
    </row>
    <row r="55" spans="6:13" ht="13.2">
      <c r="F55" s="15"/>
      <c r="G55" s="15"/>
      <c r="H55" s="16"/>
      <c r="I55" s="16"/>
      <c r="J55" s="11"/>
      <c r="K55" s="11"/>
      <c r="L55" s="13"/>
      <c r="M55" s="13"/>
    </row>
    <row r="56" spans="6:13" ht="13.2">
      <c r="F56" s="15"/>
      <c r="G56" s="15"/>
      <c r="H56" s="16"/>
      <c r="I56" s="16"/>
      <c r="J56" s="11"/>
      <c r="K56" s="11"/>
      <c r="L56" s="13"/>
      <c r="M56" s="13"/>
    </row>
    <row r="57" spans="6:13" ht="13.2">
      <c r="F57" s="15"/>
      <c r="G57" s="15"/>
      <c r="H57" s="16"/>
      <c r="I57" s="16"/>
      <c r="J57" s="11"/>
      <c r="K57" s="11"/>
      <c r="L57" s="13"/>
      <c r="M57" s="13"/>
    </row>
    <row r="58" spans="6:13" ht="13.2">
      <c r="F58" s="15"/>
      <c r="G58" s="15"/>
      <c r="H58" s="16"/>
      <c r="I58" s="16"/>
      <c r="J58" s="11"/>
      <c r="K58" s="11"/>
      <c r="L58" s="13"/>
      <c r="M58" s="13"/>
    </row>
    <row r="59" spans="6:13" ht="13.2">
      <c r="F59" s="15"/>
      <c r="G59" s="15"/>
      <c r="H59" s="16"/>
      <c r="I59" s="16"/>
      <c r="J59" s="11"/>
      <c r="K59" s="11"/>
      <c r="L59" s="13"/>
      <c r="M59" s="13"/>
    </row>
    <row r="60" spans="6:13" ht="13.2">
      <c r="F60" s="15"/>
      <c r="G60" s="15"/>
      <c r="H60" s="16"/>
      <c r="I60" s="16"/>
      <c r="J60" s="11"/>
      <c r="K60" s="11"/>
      <c r="L60" s="13"/>
      <c r="M60" s="13"/>
    </row>
    <row r="61" spans="6:13" ht="13.2">
      <c r="F61" s="15"/>
      <c r="G61" s="15"/>
      <c r="H61" s="16"/>
      <c r="I61" s="16"/>
      <c r="J61" s="11"/>
      <c r="K61" s="11"/>
      <c r="L61" s="13"/>
      <c r="M61" s="13"/>
    </row>
    <row r="62" spans="6:13" ht="13.2">
      <c r="F62" s="15"/>
      <c r="G62" s="15"/>
      <c r="H62" s="16"/>
      <c r="I62" s="16"/>
      <c r="J62" s="11"/>
      <c r="K62" s="11"/>
      <c r="L62" s="13"/>
      <c r="M62" s="13"/>
    </row>
    <row r="63" spans="6:13" ht="13.2">
      <c r="F63" s="15"/>
      <c r="G63" s="15"/>
      <c r="H63" s="16"/>
      <c r="I63" s="16"/>
      <c r="J63" s="11"/>
      <c r="K63" s="11"/>
      <c r="L63" s="13"/>
      <c r="M63" s="13"/>
    </row>
    <row r="64" spans="6:13" ht="13.2">
      <c r="F64" s="15"/>
      <c r="G64" s="15"/>
      <c r="H64" s="16"/>
      <c r="I64" s="16"/>
      <c r="J64" s="11"/>
      <c r="K64" s="11"/>
      <c r="L64" s="13"/>
      <c r="M64" s="13"/>
    </row>
    <row r="65" spans="6:13" ht="13.2">
      <c r="F65" s="15"/>
      <c r="G65" s="15"/>
      <c r="H65" s="16"/>
      <c r="I65" s="16"/>
      <c r="J65" s="11"/>
      <c r="K65" s="11"/>
      <c r="L65" s="13"/>
      <c r="M65" s="13"/>
    </row>
    <row r="66" spans="6:13" ht="13.2">
      <c r="F66" s="15"/>
      <c r="G66" s="15"/>
      <c r="H66" s="16"/>
      <c r="I66" s="16"/>
      <c r="J66" s="11"/>
      <c r="K66" s="11"/>
      <c r="L66" s="13"/>
      <c r="M66" s="13"/>
    </row>
    <row r="67" spans="6:13" ht="13.2">
      <c r="F67" s="15"/>
      <c r="G67" s="15"/>
      <c r="H67" s="16"/>
      <c r="I67" s="16"/>
      <c r="J67" s="11"/>
      <c r="K67" s="11"/>
      <c r="L67" s="13"/>
      <c r="M67" s="13"/>
    </row>
    <row r="68" spans="6:13" ht="13.2">
      <c r="F68" s="15"/>
      <c r="G68" s="15"/>
      <c r="H68" s="16"/>
      <c r="I68" s="16"/>
      <c r="J68" s="11"/>
      <c r="K68" s="11"/>
      <c r="L68" s="13"/>
      <c r="M68" s="13"/>
    </row>
    <row r="69" spans="6:13" ht="13.2">
      <c r="F69" s="15"/>
      <c r="G69" s="15"/>
      <c r="H69" s="16"/>
      <c r="I69" s="16"/>
      <c r="J69" s="11"/>
      <c r="K69" s="11"/>
      <c r="L69" s="13"/>
      <c r="M69" s="13"/>
    </row>
    <row r="70" spans="6:13" ht="13.2">
      <c r="F70" s="15"/>
      <c r="G70" s="15"/>
      <c r="H70" s="16"/>
      <c r="I70" s="16"/>
      <c r="J70" s="11"/>
      <c r="K70" s="11"/>
      <c r="L70" s="13"/>
      <c r="M70" s="13"/>
    </row>
    <row r="71" spans="6:13" ht="13.2">
      <c r="F71" s="15"/>
      <c r="G71" s="15"/>
      <c r="H71" s="16"/>
      <c r="I71" s="16"/>
      <c r="J71" s="11"/>
      <c r="K71" s="11"/>
      <c r="L71" s="13"/>
      <c r="M71" s="13"/>
    </row>
    <row r="72" spans="6:13" ht="13.2">
      <c r="F72" s="15"/>
      <c r="G72" s="15"/>
      <c r="H72" s="16"/>
      <c r="I72" s="16"/>
      <c r="J72" s="11"/>
      <c r="K72" s="11"/>
      <c r="L72" s="13"/>
      <c r="M72" s="13"/>
    </row>
    <row r="73" spans="6:13" ht="13.2">
      <c r="F73" s="15"/>
      <c r="G73" s="15"/>
      <c r="H73" s="16"/>
      <c r="I73" s="16"/>
      <c r="J73" s="11"/>
      <c r="K73" s="11"/>
      <c r="L73" s="13"/>
      <c r="M73" s="13"/>
    </row>
    <row r="74" spans="6:13" ht="13.2">
      <c r="F74" s="15"/>
      <c r="G74" s="15"/>
      <c r="H74" s="16"/>
      <c r="I74" s="16"/>
      <c r="J74" s="11"/>
      <c r="K74" s="11"/>
      <c r="L74" s="13"/>
      <c r="M74" s="13"/>
    </row>
    <row r="75" spans="6:13" ht="13.2">
      <c r="F75" s="15"/>
      <c r="G75" s="15"/>
      <c r="H75" s="16"/>
      <c r="I75" s="16"/>
      <c r="J75" s="11"/>
      <c r="K75" s="11"/>
      <c r="L75" s="13"/>
      <c r="M75" s="13"/>
    </row>
    <row r="76" spans="6:13" ht="13.2">
      <c r="F76" s="15"/>
      <c r="G76" s="15"/>
      <c r="H76" s="16"/>
      <c r="I76" s="16"/>
      <c r="J76" s="11"/>
      <c r="K76" s="11"/>
      <c r="L76" s="13"/>
      <c r="M76" s="13"/>
    </row>
    <row r="77" spans="6:13" ht="13.2">
      <c r="F77" s="15"/>
      <c r="G77" s="15"/>
      <c r="H77" s="16"/>
      <c r="I77" s="16"/>
      <c r="J77" s="11"/>
      <c r="K77" s="11"/>
      <c r="L77" s="13"/>
      <c r="M77" s="13"/>
    </row>
    <row r="78" spans="6:13" ht="13.2">
      <c r="F78" s="15"/>
      <c r="G78" s="15"/>
      <c r="H78" s="16"/>
      <c r="I78" s="16"/>
      <c r="J78" s="11"/>
      <c r="K78" s="11"/>
      <c r="L78" s="13"/>
      <c r="M78" s="13"/>
    </row>
    <row r="79" spans="6:13" ht="13.2">
      <c r="F79" s="15"/>
      <c r="G79" s="15"/>
      <c r="H79" s="16"/>
      <c r="I79" s="16"/>
      <c r="J79" s="11"/>
      <c r="K79" s="11"/>
      <c r="L79" s="13"/>
      <c r="M79" s="13"/>
    </row>
    <row r="80" spans="6:13" ht="13.2">
      <c r="F80" s="15"/>
      <c r="G80" s="15"/>
      <c r="H80" s="16"/>
      <c r="I80" s="16"/>
      <c r="J80" s="11"/>
      <c r="K80" s="11"/>
      <c r="L80" s="13"/>
      <c r="M80" s="13"/>
    </row>
    <row r="81" spans="6:13" ht="13.2">
      <c r="F81" s="15"/>
      <c r="G81" s="15"/>
      <c r="H81" s="16"/>
      <c r="I81" s="16"/>
      <c r="J81" s="11"/>
      <c r="K81" s="11"/>
      <c r="L81" s="13"/>
      <c r="M81" s="13"/>
    </row>
    <row r="82" spans="6:13" ht="13.2">
      <c r="F82" s="15"/>
      <c r="G82" s="15"/>
      <c r="H82" s="16"/>
      <c r="I82" s="16"/>
      <c r="J82" s="11"/>
      <c r="K82" s="11"/>
      <c r="L82" s="13"/>
      <c r="M82" s="13"/>
    </row>
    <row r="83" spans="6:13" ht="13.2">
      <c r="F83" s="15"/>
      <c r="G83" s="15"/>
      <c r="H83" s="16"/>
      <c r="I83" s="16"/>
      <c r="J83" s="11"/>
      <c r="K83" s="11"/>
      <c r="L83" s="13"/>
      <c r="M83" s="13"/>
    </row>
    <row r="84" spans="6:13" ht="13.2">
      <c r="F84" s="15"/>
      <c r="G84" s="15"/>
      <c r="H84" s="16"/>
      <c r="I84" s="16"/>
      <c r="J84" s="11"/>
      <c r="K84" s="11"/>
      <c r="L84" s="13"/>
      <c r="M84" s="13"/>
    </row>
    <row r="85" spans="6:13" ht="13.2">
      <c r="F85" s="15"/>
      <c r="G85" s="15"/>
      <c r="H85" s="16"/>
      <c r="I85" s="16"/>
      <c r="J85" s="11"/>
      <c r="K85" s="11"/>
      <c r="L85" s="13"/>
      <c r="M85" s="13"/>
    </row>
    <row r="86" spans="6:13" ht="13.2">
      <c r="F86" s="15"/>
      <c r="G86" s="15"/>
      <c r="H86" s="16"/>
      <c r="I86" s="16"/>
      <c r="J86" s="11"/>
      <c r="K86" s="11"/>
      <c r="L86" s="13"/>
      <c r="M86" s="13"/>
    </row>
    <row r="87" spans="6:13" ht="13.2">
      <c r="F87" s="15"/>
      <c r="G87" s="15"/>
      <c r="H87" s="16"/>
      <c r="I87" s="16"/>
      <c r="J87" s="11"/>
      <c r="K87" s="11"/>
      <c r="L87" s="13"/>
      <c r="M87" s="13"/>
    </row>
    <row r="88" spans="6:13" ht="13.2">
      <c r="F88" s="15"/>
      <c r="G88" s="15"/>
      <c r="H88" s="16"/>
      <c r="I88" s="16"/>
      <c r="J88" s="11"/>
      <c r="K88" s="11"/>
      <c r="L88" s="13"/>
      <c r="M88" s="13"/>
    </row>
    <row r="89" spans="6:13" ht="13.2">
      <c r="F89" s="15"/>
      <c r="G89" s="15"/>
      <c r="H89" s="16"/>
      <c r="I89" s="16"/>
      <c r="J89" s="11"/>
      <c r="K89" s="11"/>
      <c r="L89" s="13"/>
      <c r="M89" s="13"/>
    </row>
    <row r="90" spans="6:13" ht="13.2">
      <c r="F90" s="15"/>
      <c r="G90" s="15"/>
      <c r="H90" s="16"/>
      <c r="I90" s="16"/>
      <c r="J90" s="11"/>
      <c r="K90" s="11"/>
      <c r="L90" s="13"/>
      <c r="M90" s="13"/>
    </row>
    <row r="91" spans="6:13" ht="13.2">
      <c r="F91" s="15"/>
      <c r="G91" s="15"/>
      <c r="H91" s="16"/>
      <c r="I91" s="16"/>
      <c r="J91" s="11"/>
      <c r="K91" s="11"/>
      <c r="L91" s="13"/>
      <c r="M91" s="13"/>
    </row>
    <row r="92" spans="6:13" ht="13.2">
      <c r="F92" s="15"/>
      <c r="G92" s="15"/>
      <c r="H92" s="16"/>
      <c r="I92" s="16"/>
      <c r="J92" s="11"/>
      <c r="K92" s="11"/>
      <c r="L92" s="13"/>
      <c r="M92" s="13"/>
    </row>
    <row r="93" spans="6:13" ht="13.2">
      <c r="F93" s="15"/>
      <c r="G93" s="15"/>
      <c r="H93" s="16"/>
      <c r="I93" s="16"/>
      <c r="J93" s="11"/>
      <c r="K93" s="11"/>
      <c r="L93" s="13"/>
      <c r="M93" s="13"/>
    </row>
    <row r="94" spans="6:13" ht="13.2">
      <c r="F94" s="15"/>
      <c r="G94" s="15"/>
      <c r="H94" s="16"/>
      <c r="I94" s="16"/>
      <c r="J94" s="11"/>
      <c r="K94" s="11"/>
      <c r="L94" s="13"/>
      <c r="M94" s="13"/>
    </row>
    <row r="95" spans="6:13" ht="13.2">
      <c r="F95" s="15"/>
      <c r="G95" s="15"/>
      <c r="H95" s="16"/>
      <c r="I95" s="16"/>
      <c r="J95" s="11"/>
      <c r="K95" s="11"/>
      <c r="L95" s="13"/>
      <c r="M95" s="13"/>
    </row>
    <row r="96" spans="6:13" ht="13.2">
      <c r="F96" s="15"/>
      <c r="G96" s="15"/>
      <c r="H96" s="16"/>
      <c r="I96" s="16"/>
      <c r="J96" s="11"/>
      <c r="K96" s="11"/>
      <c r="L96" s="13"/>
      <c r="M96" s="13"/>
    </row>
    <row r="97" spans="6:13" ht="13.2">
      <c r="F97" s="15"/>
      <c r="G97" s="15"/>
      <c r="H97" s="16"/>
      <c r="I97" s="16"/>
      <c r="J97" s="11"/>
      <c r="K97" s="11"/>
      <c r="L97" s="13"/>
      <c r="M97" s="13"/>
    </row>
    <row r="98" spans="6:13" ht="13.2">
      <c r="F98" s="15"/>
      <c r="G98" s="15"/>
      <c r="H98" s="16"/>
      <c r="I98" s="16"/>
      <c r="J98" s="11"/>
      <c r="K98" s="11"/>
      <c r="L98" s="13"/>
      <c r="M98" s="13"/>
    </row>
    <row r="99" spans="6:13" ht="13.2">
      <c r="F99" s="15"/>
      <c r="G99" s="15"/>
      <c r="H99" s="16"/>
      <c r="I99" s="16"/>
      <c r="J99" s="11"/>
      <c r="K99" s="11"/>
      <c r="L99" s="13"/>
      <c r="M99" s="13"/>
    </row>
    <row r="100" spans="6:13" ht="13.2">
      <c r="F100" s="15"/>
      <c r="G100" s="15"/>
      <c r="H100" s="16"/>
      <c r="I100" s="16"/>
      <c r="J100" s="11"/>
      <c r="K100" s="11"/>
      <c r="L100" s="13"/>
      <c r="M100" s="13"/>
    </row>
    <row r="101" spans="6:13" ht="13.2">
      <c r="F101" s="15"/>
      <c r="G101" s="15"/>
      <c r="H101" s="16"/>
      <c r="I101" s="16"/>
      <c r="J101" s="11"/>
      <c r="K101" s="11"/>
      <c r="L101" s="13"/>
      <c r="M101" s="13"/>
    </row>
    <row r="102" spans="6:13" ht="13.2">
      <c r="F102" s="15"/>
      <c r="G102" s="15"/>
      <c r="H102" s="16"/>
      <c r="I102" s="16"/>
      <c r="J102" s="11"/>
      <c r="K102" s="11"/>
      <c r="L102" s="13"/>
      <c r="M102" s="13"/>
    </row>
    <row r="103" spans="6:13" ht="13.2">
      <c r="F103" s="15"/>
      <c r="G103" s="15"/>
      <c r="H103" s="16"/>
      <c r="I103" s="16"/>
      <c r="J103" s="11"/>
      <c r="K103" s="11"/>
      <c r="L103" s="13"/>
      <c r="M103" s="13"/>
    </row>
    <row r="104" spans="6:13" ht="13.2">
      <c r="F104" s="15"/>
      <c r="G104" s="15"/>
      <c r="H104" s="16"/>
      <c r="I104" s="16"/>
      <c r="J104" s="11"/>
      <c r="K104" s="11"/>
      <c r="L104" s="13"/>
      <c r="M104" s="13"/>
    </row>
    <row r="105" spans="6:13" ht="13.2">
      <c r="F105" s="15"/>
      <c r="G105" s="15"/>
      <c r="H105" s="16"/>
      <c r="I105" s="16"/>
      <c r="J105" s="11"/>
      <c r="K105" s="11"/>
      <c r="L105" s="13"/>
      <c r="M105" s="13"/>
    </row>
    <row r="106" spans="6:13" ht="13.2">
      <c r="F106" s="15"/>
      <c r="G106" s="15"/>
      <c r="H106" s="16"/>
      <c r="I106" s="16"/>
      <c r="J106" s="11"/>
      <c r="K106" s="11"/>
      <c r="L106" s="13"/>
      <c r="M106" s="13"/>
    </row>
    <row r="107" spans="6:13" ht="13.2">
      <c r="F107" s="15"/>
      <c r="G107" s="15"/>
      <c r="H107" s="16"/>
      <c r="I107" s="16"/>
      <c r="J107" s="11"/>
      <c r="K107" s="11"/>
      <c r="L107" s="13"/>
      <c r="M107" s="13"/>
    </row>
    <row r="108" spans="6:13" ht="13.2">
      <c r="F108" s="15"/>
      <c r="G108" s="15"/>
      <c r="H108" s="16"/>
      <c r="I108" s="16"/>
      <c r="J108" s="11"/>
      <c r="K108" s="11"/>
      <c r="L108" s="13"/>
      <c r="M108" s="13"/>
    </row>
    <row r="109" spans="6:13" ht="13.2">
      <c r="F109" s="15"/>
      <c r="G109" s="15"/>
      <c r="H109" s="16"/>
      <c r="I109" s="16"/>
      <c r="J109" s="11"/>
      <c r="K109" s="11"/>
      <c r="L109" s="13"/>
      <c r="M109" s="13"/>
    </row>
    <row r="110" spans="6:13" ht="13.2">
      <c r="F110" s="15"/>
      <c r="G110" s="15"/>
      <c r="H110" s="16"/>
      <c r="I110" s="16"/>
      <c r="J110" s="11"/>
      <c r="K110" s="11"/>
      <c r="L110" s="13"/>
      <c r="M110" s="13"/>
    </row>
    <row r="111" spans="6:13" ht="13.2">
      <c r="F111" s="15"/>
      <c r="G111" s="15"/>
      <c r="H111" s="16"/>
      <c r="I111" s="16"/>
      <c r="J111" s="11"/>
      <c r="K111" s="11"/>
      <c r="L111" s="13"/>
      <c r="M111" s="13"/>
    </row>
    <row r="112" spans="6:13" ht="13.2">
      <c r="F112" s="15"/>
      <c r="G112" s="15"/>
      <c r="H112" s="16"/>
      <c r="I112" s="16"/>
      <c r="J112" s="11"/>
      <c r="K112" s="11"/>
      <c r="L112" s="13"/>
      <c r="M112" s="13"/>
    </row>
    <row r="113" spans="6:13" ht="13.2">
      <c r="F113" s="15"/>
      <c r="G113" s="15"/>
      <c r="H113" s="16"/>
      <c r="I113" s="16"/>
      <c r="J113" s="11"/>
      <c r="K113" s="11"/>
      <c r="L113" s="13"/>
      <c r="M113" s="13"/>
    </row>
    <row r="114" spans="6:13" ht="13.2">
      <c r="F114" s="15"/>
      <c r="G114" s="15"/>
      <c r="H114" s="16"/>
      <c r="I114" s="16"/>
      <c r="J114" s="11"/>
      <c r="K114" s="11"/>
      <c r="L114" s="13"/>
      <c r="M114" s="13"/>
    </row>
    <row r="115" spans="6:13" ht="13.2">
      <c r="F115" s="15"/>
      <c r="G115" s="15"/>
      <c r="H115" s="16"/>
      <c r="I115" s="16"/>
      <c r="J115" s="11"/>
      <c r="K115" s="11"/>
      <c r="L115" s="13"/>
      <c r="M115" s="13"/>
    </row>
    <row r="116" spans="6:13" ht="13.2">
      <c r="F116" s="15"/>
      <c r="G116" s="15"/>
      <c r="H116" s="16"/>
      <c r="I116" s="16"/>
      <c r="J116" s="11"/>
      <c r="K116" s="11"/>
      <c r="L116" s="13"/>
      <c r="M116" s="13"/>
    </row>
    <row r="117" spans="6:13" ht="13.2">
      <c r="F117" s="15"/>
      <c r="G117" s="15"/>
      <c r="H117" s="16"/>
      <c r="I117" s="16"/>
      <c r="J117" s="11"/>
      <c r="K117" s="11"/>
      <c r="L117" s="13"/>
      <c r="M117" s="13"/>
    </row>
    <row r="118" spans="6:13" ht="13.2">
      <c r="F118" s="15"/>
      <c r="G118" s="15"/>
      <c r="H118" s="16"/>
      <c r="I118" s="16"/>
      <c r="J118" s="11"/>
      <c r="K118" s="11"/>
      <c r="L118" s="13"/>
      <c r="M118" s="13"/>
    </row>
    <row r="119" spans="6:13" ht="13.2">
      <c r="F119" s="15"/>
      <c r="G119" s="15"/>
      <c r="H119" s="16"/>
      <c r="I119" s="16"/>
      <c r="J119" s="11"/>
      <c r="K119" s="11"/>
      <c r="L119" s="13"/>
      <c r="M119" s="13"/>
    </row>
    <row r="120" spans="6:13" ht="13.2">
      <c r="F120" s="15"/>
      <c r="G120" s="15"/>
      <c r="H120" s="16"/>
      <c r="I120" s="16"/>
      <c r="J120" s="11"/>
      <c r="K120" s="11"/>
      <c r="L120" s="13"/>
      <c r="M120" s="13"/>
    </row>
    <row r="121" spans="6:13" ht="13.2">
      <c r="F121" s="15"/>
      <c r="G121" s="15"/>
      <c r="H121" s="16"/>
      <c r="I121" s="16"/>
      <c r="J121" s="11"/>
      <c r="K121" s="11"/>
      <c r="L121" s="13"/>
      <c r="M121" s="13"/>
    </row>
    <row r="122" spans="6:13" ht="13.2">
      <c r="F122" s="15"/>
      <c r="G122" s="15"/>
      <c r="H122" s="16"/>
      <c r="I122" s="16"/>
      <c r="J122" s="11"/>
      <c r="K122" s="11"/>
      <c r="L122" s="13"/>
      <c r="M122" s="13"/>
    </row>
    <row r="123" spans="6:13" ht="13.2">
      <c r="F123" s="15"/>
      <c r="G123" s="15"/>
      <c r="H123" s="16"/>
      <c r="I123" s="16"/>
      <c r="J123" s="11"/>
      <c r="K123" s="11"/>
      <c r="L123" s="13"/>
      <c r="M123" s="13"/>
    </row>
    <row r="124" spans="6:13" ht="13.2">
      <c r="F124" s="15"/>
      <c r="G124" s="15"/>
      <c r="H124" s="16"/>
      <c r="I124" s="16"/>
      <c r="J124" s="11"/>
      <c r="K124" s="11"/>
      <c r="L124" s="13"/>
      <c r="M124" s="13"/>
    </row>
    <row r="125" spans="6:13" ht="13.2">
      <c r="F125" s="15"/>
      <c r="G125" s="15"/>
      <c r="H125" s="16"/>
      <c r="I125" s="16"/>
      <c r="J125" s="11"/>
      <c r="K125" s="11"/>
      <c r="L125" s="13"/>
      <c r="M125" s="13"/>
    </row>
    <row r="126" spans="6:13" ht="13.2">
      <c r="F126" s="15"/>
      <c r="G126" s="15"/>
      <c r="H126" s="16"/>
      <c r="I126" s="16"/>
      <c r="J126" s="11"/>
      <c r="K126" s="11"/>
      <c r="L126" s="13"/>
      <c r="M126" s="13"/>
    </row>
    <row r="127" spans="6:13" ht="13.2">
      <c r="F127" s="15"/>
      <c r="G127" s="15"/>
      <c r="H127" s="16"/>
      <c r="I127" s="16"/>
      <c r="J127" s="11"/>
      <c r="K127" s="11"/>
      <c r="L127" s="13"/>
      <c r="M127" s="13"/>
    </row>
    <row r="128" spans="6:13" ht="13.2">
      <c r="F128" s="15"/>
      <c r="G128" s="15"/>
      <c r="H128" s="16"/>
      <c r="I128" s="16"/>
      <c r="J128" s="11"/>
      <c r="K128" s="11"/>
      <c r="L128" s="13"/>
      <c r="M128" s="13"/>
    </row>
    <row r="129" spans="6:13" ht="13.2">
      <c r="F129" s="15"/>
      <c r="G129" s="15"/>
      <c r="H129" s="16"/>
      <c r="I129" s="16"/>
      <c r="J129" s="11"/>
      <c r="K129" s="11"/>
      <c r="L129" s="13"/>
      <c r="M129" s="13"/>
    </row>
    <row r="130" spans="6:13" ht="13.2">
      <c r="F130" s="15"/>
      <c r="G130" s="15"/>
      <c r="H130" s="16"/>
      <c r="I130" s="16"/>
      <c r="J130" s="11"/>
      <c r="K130" s="11"/>
      <c r="L130" s="13"/>
      <c r="M130" s="13"/>
    </row>
    <row r="131" spans="6:13" ht="13.2">
      <c r="F131" s="15"/>
      <c r="G131" s="15"/>
      <c r="H131" s="16"/>
      <c r="I131" s="16"/>
      <c r="J131" s="11"/>
      <c r="K131" s="11"/>
      <c r="L131" s="13"/>
      <c r="M131" s="13"/>
    </row>
    <row r="132" spans="6:13" ht="13.2">
      <c r="F132" s="15"/>
      <c r="G132" s="15"/>
      <c r="H132" s="16"/>
      <c r="I132" s="16"/>
      <c r="J132" s="11"/>
      <c r="K132" s="11"/>
      <c r="L132" s="13"/>
      <c r="M132" s="13"/>
    </row>
    <row r="133" spans="6:13" ht="13.2">
      <c r="F133" s="15"/>
      <c r="G133" s="15"/>
      <c r="H133" s="16"/>
      <c r="I133" s="16"/>
      <c r="J133" s="11"/>
      <c r="K133" s="11"/>
      <c r="L133" s="13"/>
      <c r="M133" s="13"/>
    </row>
    <row r="134" spans="6:13" ht="13.2">
      <c r="F134" s="15"/>
      <c r="G134" s="15"/>
      <c r="H134" s="16"/>
      <c r="I134" s="16"/>
      <c r="J134" s="11"/>
      <c r="K134" s="11"/>
      <c r="L134" s="13"/>
      <c r="M134" s="13"/>
    </row>
    <row r="135" spans="6:13" ht="13.2">
      <c r="F135" s="15"/>
      <c r="G135" s="15"/>
      <c r="H135" s="16"/>
      <c r="I135" s="16"/>
      <c r="J135" s="11"/>
      <c r="K135" s="11"/>
      <c r="L135" s="13"/>
      <c r="M135" s="13"/>
    </row>
    <row r="136" spans="6:13" ht="13.2">
      <c r="F136" s="15"/>
      <c r="G136" s="15"/>
      <c r="H136" s="16"/>
      <c r="I136" s="16"/>
      <c r="J136" s="11"/>
      <c r="K136" s="11"/>
      <c r="L136" s="13"/>
      <c r="M136" s="13"/>
    </row>
    <row r="137" spans="6:13" ht="13.2">
      <c r="F137" s="15"/>
      <c r="G137" s="15"/>
      <c r="H137" s="16"/>
      <c r="I137" s="16"/>
      <c r="J137" s="11"/>
      <c r="K137" s="11"/>
      <c r="L137" s="13"/>
      <c r="M137" s="13"/>
    </row>
    <row r="138" spans="6:13" ht="13.2">
      <c r="F138" s="15"/>
      <c r="G138" s="15"/>
      <c r="H138" s="16"/>
      <c r="I138" s="16"/>
      <c r="J138" s="11"/>
      <c r="K138" s="11"/>
      <c r="L138" s="13"/>
      <c r="M138" s="13"/>
    </row>
    <row r="139" spans="6:13" ht="13.2">
      <c r="F139" s="15"/>
      <c r="G139" s="15"/>
      <c r="H139" s="16"/>
      <c r="I139" s="16"/>
      <c r="J139" s="11"/>
      <c r="K139" s="11"/>
      <c r="L139" s="13"/>
      <c r="M139" s="13"/>
    </row>
    <row r="140" spans="6:13" ht="13.2">
      <c r="F140" s="15"/>
      <c r="G140" s="15"/>
      <c r="H140" s="16"/>
      <c r="I140" s="16"/>
      <c r="J140" s="11"/>
      <c r="K140" s="11"/>
      <c r="L140" s="13"/>
      <c r="M140" s="13"/>
    </row>
    <row r="141" spans="6:13" ht="13.2">
      <c r="F141" s="15"/>
      <c r="G141" s="15"/>
      <c r="H141" s="16"/>
      <c r="I141" s="16"/>
      <c r="J141" s="11"/>
      <c r="K141" s="11"/>
      <c r="L141" s="13"/>
      <c r="M141" s="13"/>
    </row>
    <row r="142" spans="6:13" ht="13.2">
      <c r="F142" s="15"/>
      <c r="G142" s="15"/>
      <c r="H142" s="16"/>
      <c r="I142" s="16"/>
      <c r="J142" s="11"/>
      <c r="K142" s="11"/>
      <c r="L142" s="13"/>
      <c r="M142" s="13"/>
    </row>
    <row r="143" spans="6:13" ht="13.2">
      <c r="F143" s="15"/>
      <c r="G143" s="15"/>
      <c r="H143" s="16"/>
      <c r="I143" s="16"/>
      <c r="J143" s="11"/>
      <c r="K143" s="11"/>
      <c r="L143" s="13"/>
      <c r="M143" s="13"/>
    </row>
    <row r="144" spans="6:13" ht="13.2">
      <c r="F144" s="15"/>
      <c r="G144" s="15"/>
      <c r="H144" s="16"/>
      <c r="I144" s="16"/>
      <c r="J144" s="11"/>
      <c r="K144" s="11"/>
      <c r="L144" s="13"/>
      <c r="M144" s="13"/>
    </row>
    <row r="145" spans="6:13" ht="13.2">
      <c r="F145" s="15"/>
      <c r="G145" s="15"/>
      <c r="H145" s="16"/>
      <c r="I145" s="16"/>
      <c r="J145" s="11"/>
      <c r="K145" s="11"/>
      <c r="L145" s="13"/>
      <c r="M145" s="13"/>
    </row>
    <row r="146" spans="6:13" ht="13.2">
      <c r="F146" s="15"/>
      <c r="G146" s="15"/>
      <c r="H146" s="16"/>
      <c r="I146" s="16"/>
      <c r="J146" s="11"/>
      <c r="K146" s="11"/>
      <c r="L146" s="13"/>
      <c r="M146" s="13"/>
    </row>
    <row r="147" spans="6:13" ht="13.2">
      <c r="F147" s="15"/>
      <c r="G147" s="15"/>
      <c r="H147" s="16"/>
      <c r="I147" s="16"/>
      <c r="J147" s="11"/>
      <c r="K147" s="11"/>
      <c r="L147" s="13"/>
      <c r="M147" s="13"/>
    </row>
    <row r="148" spans="6:13" ht="13.2">
      <c r="F148" s="15"/>
      <c r="G148" s="15"/>
      <c r="H148" s="16"/>
      <c r="I148" s="16"/>
      <c r="J148" s="11"/>
      <c r="K148" s="11"/>
      <c r="L148" s="13"/>
      <c r="M148" s="13"/>
    </row>
    <row r="149" spans="6:13" ht="13.2">
      <c r="F149" s="15"/>
      <c r="G149" s="15"/>
      <c r="H149" s="16"/>
      <c r="I149" s="16"/>
      <c r="J149" s="11"/>
      <c r="K149" s="11"/>
      <c r="L149" s="13"/>
      <c r="M149" s="13"/>
    </row>
    <row r="150" spans="6:13" ht="13.2">
      <c r="F150" s="15"/>
      <c r="G150" s="15"/>
      <c r="H150" s="16"/>
      <c r="I150" s="16"/>
      <c r="J150" s="11"/>
      <c r="K150" s="11"/>
      <c r="L150" s="13"/>
      <c r="M150" s="13"/>
    </row>
    <row r="151" spans="6:13" ht="13.2">
      <c r="F151" s="15"/>
      <c r="G151" s="15"/>
      <c r="H151" s="16"/>
      <c r="I151" s="16"/>
      <c r="J151" s="11"/>
      <c r="K151" s="11"/>
      <c r="L151" s="13"/>
      <c r="M151" s="13"/>
    </row>
    <row r="152" spans="6:13" ht="13.2">
      <c r="F152" s="15"/>
      <c r="G152" s="15"/>
      <c r="H152" s="16"/>
      <c r="I152" s="16"/>
      <c r="J152" s="11"/>
      <c r="K152" s="11"/>
      <c r="L152" s="13"/>
      <c r="M152" s="13"/>
    </row>
    <row r="153" spans="6:13" ht="13.2">
      <c r="F153" s="15"/>
      <c r="G153" s="15"/>
      <c r="H153" s="16"/>
      <c r="I153" s="16"/>
      <c r="J153" s="11"/>
      <c r="K153" s="11"/>
      <c r="L153" s="13"/>
      <c r="M153" s="13"/>
    </row>
    <row r="154" spans="6:13" ht="13.2">
      <c r="F154" s="15"/>
      <c r="G154" s="15"/>
      <c r="H154" s="16"/>
      <c r="I154" s="16"/>
      <c r="J154" s="11"/>
      <c r="K154" s="11"/>
      <c r="L154" s="13"/>
      <c r="M154" s="13"/>
    </row>
    <row r="155" spans="6:13" ht="13.2">
      <c r="F155" s="15"/>
      <c r="G155" s="15"/>
      <c r="H155" s="16"/>
      <c r="I155" s="16"/>
      <c r="J155" s="11"/>
      <c r="K155" s="11"/>
      <c r="L155" s="13"/>
      <c r="M155" s="13"/>
    </row>
    <row r="156" spans="6:13" ht="13.2">
      <c r="F156" s="15"/>
      <c r="G156" s="15"/>
      <c r="H156" s="16"/>
      <c r="I156" s="16"/>
      <c r="J156" s="11"/>
      <c r="K156" s="11"/>
      <c r="L156" s="13"/>
      <c r="M156" s="13"/>
    </row>
    <row r="157" spans="6:13" ht="13.2">
      <c r="F157" s="15"/>
      <c r="G157" s="15"/>
      <c r="H157" s="16"/>
      <c r="I157" s="16"/>
      <c r="J157" s="11"/>
      <c r="K157" s="11"/>
      <c r="L157" s="13"/>
      <c r="M157" s="13"/>
    </row>
    <row r="158" spans="6:13" ht="13.2">
      <c r="F158" s="15"/>
      <c r="G158" s="15"/>
      <c r="H158" s="16"/>
      <c r="I158" s="16"/>
      <c r="J158" s="11"/>
      <c r="K158" s="11"/>
      <c r="L158" s="13"/>
      <c r="M158" s="13"/>
    </row>
    <row r="159" spans="6:13" ht="13.2">
      <c r="F159" s="15"/>
      <c r="G159" s="15"/>
      <c r="H159" s="16"/>
      <c r="I159" s="16"/>
      <c r="J159" s="11"/>
      <c r="K159" s="11"/>
      <c r="L159" s="13"/>
      <c r="M159" s="13"/>
    </row>
    <row r="160" spans="6:13" ht="13.2">
      <c r="F160" s="15"/>
      <c r="G160" s="15"/>
      <c r="H160" s="16"/>
      <c r="I160" s="16"/>
      <c r="J160" s="11"/>
      <c r="K160" s="11"/>
      <c r="L160" s="13"/>
      <c r="M160" s="13"/>
    </row>
    <row r="161" spans="6:13" ht="13.2">
      <c r="F161" s="15"/>
      <c r="G161" s="15"/>
      <c r="H161" s="16"/>
      <c r="I161" s="16"/>
      <c r="J161" s="11"/>
      <c r="K161" s="11"/>
      <c r="L161" s="13"/>
      <c r="M161" s="13"/>
    </row>
    <row r="162" spans="6:13" ht="13.2">
      <c r="F162" s="15"/>
      <c r="G162" s="15"/>
      <c r="H162" s="16"/>
      <c r="I162" s="16"/>
      <c r="J162" s="11"/>
      <c r="K162" s="11"/>
      <c r="L162" s="13"/>
      <c r="M162" s="13"/>
    </row>
    <row r="163" spans="6:13" ht="13.2">
      <c r="F163" s="15"/>
      <c r="G163" s="15"/>
      <c r="H163" s="16"/>
      <c r="I163" s="16"/>
      <c r="J163" s="11"/>
      <c r="K163" s="11"/>
      <c r="L163" s="13"/>
      <c r="M163" s="13"/>
    </row>
    <row r="164" spans="6:13" ht="13.2">
      <c r="F164" s="15"/>
      <c r="G164" s="15"/>
      <c r="H164" s="16"/>
      <c r="I164" s="16"/>
      <c r="J164" s="11"/>
      <c r="K164" s="11"/>
      <c r="L164" s="13"/>
      <c r="M164" s="13"/>
    </row>
    <row r="165" spans="6:13" ht="13.2">
      <c r="F165" s="15"/>
      <c r="G165" s="15"/>
      <c r="H165" s="16"/>
      <c r="I165" s="16"/>
      <c r="J165" s="11"/>
      <c r="K165" s="11"/>
      <c r="L165" s="13"/>
      <c r="M165" s="13"/>
    </row>
    <row r="166" spans="6:13" ht="13.2">
      <c r="F166" s="15"/>
      <c r="G166" s="15"/>
      <c r="H166" s="16"/>
      <c r="I166" s="16"/>
      <c r="J166" s="11"/>
      <c r="K166" s="11"/>
      <c r="L166" s="13"/>
      <c r="M166" s="13"/>
    </row>
    <row r="167" spans="6:13" ht="13.2">
      <c r="F167" s="15"/>
      <c r="G167" s="15"/>
      <c r="H167" s="16"/>
      <c r="I167" s="16"/>
      <c r="J167" s="11"/>
      <c r="K167" s="11"/>
      <c r="L167" s="13"/>
      <c r="M167" s="13"/>
    </row>
    <row r="168" spans="6:13" ht="13.2">
      <c r="F168" s="15"/>
      <c r="G168" s="15"/>
      <c r="H168" s="16"/>
      <c r="I168" s="16"/>
      <c r="J168" s="11"/>
      <c r="K168" s="11"/>
      <c r="L168" s="13"/>
      <c r="M168" s="13"/>
    </row>
    <row r="169" spans="6:13" ht="13.2">
      <c r="F169" s="15"/>
      <c r="G169" s="15"/>
      <c r="H169" s="16"/>
      <c r="I169" s="16"/>
      <c r="J169" s="11"/>
      <c r="K169" s="11"/>
      <c r="L169" s="13"/>
      <c r="M169" s="13"/>
    </row>
    <row r="170" spans="6:13" ht="13.2">
      <c r="F170" s="15"/>
      <c r="G170" s="15"/>
      <c r="H170" s="16"/>
      <c r="I170" s="16"/>
      <c r="J170" s="11"/>
      <c r="K170" s="11"/>
      <c r="L170" s="13"/>
      <c r="M170" s="13"/>
    </row>
    <row r="171" spans="6:13" ht="13.2">
      <c r="F171" s="15"/>
      <c r="G171" s="15"/>
      <c r="H171" s="16"/>
      <c r="I171" s="16"/>
      <c r="J171" s="11"/>
      <c r="K171" s="11"/>
      <c r="L171" s="13"/>
      <c r="M171" s="13"/>
    </row>
    <row r="172" spans="6:13" ht="13.2">
      <c r="F172" s="15"/>
      <c r="G172" s="15"/>
      <c r="H172" s="16"/>
      <c r="I172" s="16"/>
      <c r="J172" s="11"/>
      <c r="K172" s="11"/>
      <c r="L172" s="13"/>
      <c r="M172" s="13"/>
    </row>
    <row r="173" spans="6:13" ht="13.2">
      <c r="F173" s="15"/>
      <c r="G173" s="15"/>
      <c r="H173" s="16"/>
      <c r="I173" s="16"/>
      <c r="J173" s="11"/>
      <c r="K173" s="11"/>
      <c r="L173" s="13"/>
      <c r="M173" s="13"/>
    </row>
    <row r="174" spans="6:13" ht="13.2">
      <c r="F174" s="15"/>
      <c r="G174" s="15"/>
      <c r="H174" s="16"/>
      <c r="I174" s="16"/>
      <c r="J174" s="11"/>
      <c r="K174" s="11"/>
      <c r="L174" s="13"/>
      <c r="M174" s="13"/>
    </row>
    <row r="175" spans="6:13" ht="13.2">
      <c r="F175" s="15"/>
      <c r="G175" s="15"/>
      <c r="H175" s="16"/>
      <c r="I175" s="16"/>
      <c r="J175" s="11"/>
      <c r="K175" s="11"/>
      <c r="L175" s="13"/>
      <c r="M175" s="13"/>
    </row>
    <row r="176" spans="6:13" ht="13.2">
      <c r="F176" s="15"/>
      <c r="G176" s="15"/>
      <c r="H176" s="16"/>
      <c r="I176" s="16"/>
      <c r="J176" s="11"/>
      <c r="K176" s="11"/>
      <c r="L176" s="13"/>
      <c r="M176" s="13"/>
    </row>
    <row r="177" spans="6:13" ht="13.2">
      <c r="F177" s="15"/>
      <c r="G177" s="15"/>
      <c r="H177" s="16"/>
      <c r="I177" s="16"/>
      <c r="J177" s="11"/>
      <c r="K177" s="11"/>
      <c r="L177" s="13"/>
      <c r="M177" s="13"/>
    </row>
    <row r="178" spans="6:13" ht="13.2">
      <c r="F178" s="15"/>
      <c r="G178" s="15"/>
      <c r="H178" s="16"/>
      <c r="I178" s="16"/>
      <c r="J178" s="11"/>
      <c r="K178" s="11"/>
      <c r="L178" s="13"/>
      <c r="M178" s="13"/>
    </row>
    <row r="179" spans="6:13" ht="13.2">
      <c r="F179" s="15"/>
      <c r="G179" s="15"/>
      <c r="H179" s="16"/>
      <c r="I179" s="16"/>
      <c r="J179" s="11"/>
      <c r="K179" s="11"/>
      <c r="L179" s="13"/>
      <c r="M179" s="13"/>
    </row>
    <row r="180" spans="6:13" ht="13.2">
      <c r="F180" s="15"/>
      <c r="G180" s="15"/>
      <c r="H180" s="16"/>
      <c r="I180" s="16"/>
      <c r="J180" s="11"/>
      <c r="K180" s="11"/>
      <c r="L180" s="13"/>
      <c r="M180" s="13"/>
    </row>
    <row r="181" spans="6:13" ht="13.2">
      <c r="F181" s="15"/>
      <c r="G181" s="15"/>
      <c r="H181" s="16"/>
      <c r="I181" s="16"/>
      <c r="J181" s="11"/>
      <c r="K181" s="11"/>
      <c r="L181" s="13"/>
      <c r="M181" s="13"/>
    </row>
    <row r="182" spans="6:13" ht="13.2">
      <c r="F182" s="15"/>
      <c r="G182" s="15"/>
      <c r="H182" s="16"/>
      <c r="I182" s="16"/>
      <c r="J182" s="11"/>
      <c r="K182" s="11"/>
      <c r="L182" s="13"/>
      <c r="M182" s="13"/>
    </row>
    <row r="183" spans="6:13" ht="13.2">
      <c r="F183" s="15"/>
      <c r="G183" s="15"/>
      <c r="H183" s="16"/>
      <c r="I183" s="16"/>
      <c r="J183" s="11"/>
      <c r="K183" s="11"/>
      <c r="L183" s="13"/>
      <c r="M183" s="13"/>
    </row>
    <row r="184" spans="6:13" ht="13.2">
      <c r="F184" s="15"/>
      <c r="G184" s="15"/>
      <c r="H184" s="16"/>
      <c r="I184" s="16"/>
      <c r="J184" s="11"/>
      <c r="K184" s="11"/>
      <c r="L184" s="13"/>
      <c r="M184" s="13"/>
    </row>
    <row r="185" spans="6:13" ht="13.2">
      <c r="F185" s="15"/>
      <c r="G185" s="15"/>
      <c r="H185" s="16"/>
      <c r="I185" s="16"/>
      <c r="J185" s="11"/>
      <c r="K185" s="11"/>
      <c r="L185" s="13"/>
      <c r="M185" s="13"/>
    </row>
    <row r="186" spans="6:13" ht="13.2">
      <c r="F186" s="15"/>
      <c r="G186" s="15"/>
      <c r="H186" s="16"/>
      <c r="I186" s="16"/>
      <c r="J186" s="11"/>
      <c r="K186" s="11"/>
      <c r="L186" s="13"/>
      <c r="M186" s="13"/>
    </row>
    <row r="187" spans="6:13" ht="13.2">
      <c r="F187" s="15"/>
      <c r="G187" s="15"/>
      <c r="H187" s="16"/>
      <c r="I187" s="16"/>
      <c r="J187" s="11"/>
      <c r="K187" s="11"/>
      <c r="L187" s="13"/>
      <c r="M187" s="13"/>
    </row>
    <row r="188" spans="6:13" ht="13.2">
      <c r="F188" s="15"/>
      <c r="G188" s="15"/>
      <c r="H188" s="16"/>
      <c r="I188" s="16"/>
      <c r="J188" s="11"/>
      <c r="K188" s="11"/>
      <c r="L188" s="13"/>
      <c r="M188" s="13"/>
    </row>
    <row r="189" spans="6:13" ht="13.2">
      <c r="F189" s="15"/>
      <c r="G189" s="15"/>
      <c r="H189" s="16"/>
      <c r="I189" s="16"/>
      <c r="J189" s="11"/>
      <c r="K189" s="11"/>
      <c r="L189" s="13"/>
      <c r="M189" s="13"/>
    </row>
    <row r="190" spans="6:13" ht="13.2">
      <c r="F190" s="15"/>
      <c r="G190" s="15"/>
      <c r="H190" s="16"/>
      <c r="I190" s="16"/>
      <c r="J190" s="11"/>
      <c r="K190" s="11"/>
      <c r="L190" s="13"/>
      <c r="M190" s="13"/>
    </row>
    <row r="191" spans="6:13" ht="13.2">
      <c r="F191" s="15"/>
      <c r="G191" s="15"/>
      <c r="H191" s="16"/>
      <c r="I191" s="16"/>
      <c r="J191" s="11"/>
      <c r="K191" s="11"/>
      <c r="L191" s="13"/>
      <c r="M191" s="13"/>
    </row>
    <row r="192" spans="6:13" ht="13.2">
      <c r="F192" s="15"/>
      <c r="G192" s="15"/>
      <c r="H192" s="16"/>
      <c r="I192" s="16"/>
      <c r="J192" s="11"/>
      <c r="K192" s="11"/>
      <c r="L192" s="13"/>
      <c r="M192" s="13"/>
    </row>
    <row r="193" spans="6:13" ht="13.2">
      <c r="F193" s="15"/>
      <c r="G193" s="15"/>
      <c r="H193" s="16"/>
      <c r="I193" s="16"/>
      <c r="J193" s="11"/>
      <c r="K193" s="11"/>
      <c r="L193" s="13"/>
      <c r="M193" s="13"/>
    </row>
    <row r="194" spans="6:13" ht="13.2">
      <c r="F194" s="15"/>
      <c r="G194" s="15"/>
      <c r="H194" s="16"/>
      <c r="I194" s="16"/>
      <c r="J194" s="11"/>
      <c r="K194" s="11"/>
      <c r="L194" s="13"/>
      <c r="M194" s="13"/>
    </row>
    <row r="195" spans="6:13" ht="13.2">
      <c r="F195" s="15"/>
      <c r="G195" s="15"/>
      <c r="H195" s="16"/>
      <c r="I195" s="16"/>
      <c r="J195" s="11"/>
      <c r="K195" s="11"/>
      <c r="L195" s="13"/>
      <c r="M195" s="13"/>
    </row>
    <row r="196" spans="6:13" ht="13.2">
      <c r="F196" s="15"/>
      <c r="G196" s="15"/>
      <c r="H196" s="16"/>
      <c r="I196" s="16"/>
      <c r="J196" s="11"/>
      <c r="K196" s="11"/>
      <c r="L196" s="13"/>
      <c r="M196" s="13"/>
    </row>
    <row r="197" spans="6:13" ht="13.2">
      <c r="F197" s="15"/>
      <c r="G197" s="15"/>
      <c r="H197" s="16"/>
      <c r="I197" s="16"/>
      <c r="J197" s="11"/>
      <c r="K197" s="11"/>
      <c r="L197" s="13"/>
      <c r="M197" s="13"/>
    </row>
    <row r="198" spans="6:13" ht="13.2">
      <c r="F198" s="15"/>
      <c r="G198" s="15"/>
      <c r="H198" s="16"/>
      <c r="I198" s="16"/>
      <c r="J198" s="11"/>
      <c r="K198" s="11"/>
      <c r="L198" s="13"/>
      <c r="M198" s="13"/>
    </row>
    <row r="199" spans="6:13" ht="13.2">
      <c r="F199" s="15"/>
      <c r="G199" s="15"/>
      <c r="H199" s="16"/>
      <c r="I199" s="16"/>
      <c r="J199" s="11"/>
      <c r="K199" s="11"/>
      <c r="L199" s="13"/>
      <c r="M199" s="13"/>
    </row>
    <row r="200" spans="6:13" ht="13.2">
      <c r="F200" s="15"/>
      <c r="G200" s="15"/>
      <c r="H200" s="16"/>
      <c r="I200" s="16"/>
      <c r="J200" s="11"/>
      <c r="K200" s="11"/>
      <c r="L200" s="13"/>
      <c r="M200" s="13"/>
    </row>
    <row r="201" spans="6:13" ht="13.2">
      <c r="F201" s="15"/>
      <c r="G201" s="15"/>
      <c r="H201" s="16"/>
      <c r="I201" s="16"/>
      <c r="J201" s="11"/>
      <c r="K201" s="11"/>
      <c r="L201" s="13"/>
      <c r="M201" s="13"/>
    </row>
    <row r="202" spans="6:13" ht="13.2">
      <c r="F202" s="15"/>
      <c r="G202" s="15"/>
      <c r="H202" s="16"/>
      <c r="I202" s="16"/>
      <c r="J202" s="11"/>
      <c r="K202" s="11"/>
      <c r="L202" s="13"/>
      <c r="M202" s="13"/>
    </row>
    <row r="203" spans="6:13" ht="13.2">
      <c r="F203" s="15"/>
      <c r="G203" s="15"/>
      <c r="H203" s="16"/>
      <c r="I203" s="16"/>
      <c r="J203" s="11"/>
      <c r="K203" s="11"/>
      <c r="L203" s="13"/>
      <c r="M203" s="13"/>
    </row>
    <row r="204" spans="6:13" ht="13.2">
      <c r="F204" s="15"/>
      <c r="G204" s="15"/>
      <c r="H204" s="16"/>
      <c r="I204" s="16"/>
      <c r="J204" s="11"/>
      <c r="K204" s="11"/>
      <c r="L204" s="13"/>
      <c r="M204" s="13"/>
    </row>
    <row r="205" spans="6:13" ht="13.2">
      <c r="F205" s="15"/>
      <c r="G205" s="15"/>
      <c r="H205" s="16"/>
      <c r="I205" s="16"/>
      <c r="J205" s="11"/>
      <c r="K205" s="11"/>
      <c r="L205" s="13"/>
      <c r="M205" s="13"/>
    </row>
    <row r="206" spans="6:13" ht="13.2">
      <c r="F206" s="15"/>
      <c r="G206" s="15"/>
      <c r="H206" s="16"/>
      <c r="I206" s="16"/>
      <c r="J206" s="11"/>
      <c r="K206" s="11"/>
      <c r="L206" s="13"/>
      <c r="M206" s="13"/>
    </row>
    <row r="207" spans="6:13" ht="13.2">
      <c r="F207" s="15"/>
      <c r="G207" s="15"/>
      <c r="H207" s="16"/>
      <c r="I207" s="16"/>
      <c r="J207" s="11"/>
      <c r="K207" s="11"/>
      <c r="L207" s="13"/>
      <c r="M207" s="13"/>
    </row>
    <row r="208" spans="6:13" ht="13.2">
      <c r="F208" s="15"/>
      <c r="G208" s="15"/>
      <c r="H208" s="16"/>
      <c r="I208" s="16"/>
      <c r="J208" s="11"/>
      <c r="K208" s="11"/>
      <c r="L208" s="13"/>
      <c r="M208" s="13"/>
    </row>
    <row r="209" spans="6:13" ht="13.2">
      <c r="F209" s="15"/>
      <c r="G209" s="15"/>
      <c r="H209" s="16"/>
      <c r="I209" s="16"/>
      <c r="J209" s="11"/>
      <c r="K209" s="11"/>
      <c r="L209" s="13"/>
      <c r="M209" s="13"/>
    </row>
    <row r="210" spans="6:13" ht="13.2">
      <c r="F210" s="15"/>
      <c r="G210" s="15"/>
      <c r="H210" s="16"/>
      <c r="I210" s="16"/>
      <c r="J210" s="11"/>
      <c r="K210" s="11"/>
      <c r="L210" s="13"/>
      <c r="M210" s="13"/>
    </row>
    <row r="211" spans="6:13" ht="13.2">
      <c r="F211" s="15"/>
      <c r="G211" s="15"/>
      <c r="H211" s="16"/>
      <c r="I211" s="16"/>
      <c r="J211" s="11"/>
      <c r="K211" s="11"/>
      <c r="L211" s="13"/>
      <c r="M211" s="13"/>
    </row>
    <row r="212" spans="6:13" ht="13.2">
      <c r="F212" s="15"/>
      <c r="G212" s="15"/>
      <c r="H212" s="16"/>
      <c r="I212" s="16"/>
      <c r="J212" s="11"/>
      <c r="K212" s="11"/>
      <c r="L212" s="13"/>
      <c r="M212" s="13"/>
    </row>
    <row r="213" spans="6:13" ht="13.2">
      <c r="F213" s="15"/>
      <c r="G213" s="15"/>
      <c r="H213" s="16"/>
      <c r="I213" s="16"/>
      <c r="J213" s="11"/>
      <c r="K213" s="11"/>
      <c r="L213" s="13"/>
      <c r="M213" s="13"/>
    </row>
    <row r="214" spans="6:13" ht="13.2">
      <c r="F214" s="15"/>
      <c r="G214" s="15"/>
      <c r="H214" s="16"/>
      <c r="I214" s="16"/>
      <c r="J214" s="11"/>
      <c r="K214" s="11"/>
      <c r="L214" s="13"/>
      <c r="M214" s="13"/>
    </row>
    <row r="215" spans="6:13" ht="13.2">
      <c r="F215" s="15"/>
      <c r="G215" s="15"/>
      <c r="H215" s="16"/>
      <c r="I215" s="16"/>
      <c r="J215" s="11"/>
      <c r="K215" s="11"/>
      <c r="L215" s="13"/>
      <c r="M215" s="13"/>
    </row>
    <row r="216" spans="6:13" ht="13.2">
      <c r="F216" s="15"/>
      <c r="G216" s="15"/>
      <c r="H216" s="16"/>
      <c r="I216" s="16"/>
      <c r="J216" s="11"/>
      <c r="K216" s="11"/>
      <c r="L216" s="13"/>
      <c r="M216" s="13"/>
    </row>
    <row r="217" spans="6:13" ht="13.2">
      <c r="F217" s="15"/>
      <c r="G217" s="15"/>
      <c r="H217" s="16"/>
      <c r="I217" s="16"/>
      <c r="J217" s="11"/>
      <c r="K217" s="11"/>
      <c r="L217" s="13"/>
      <c r="M217" s="13"/>
    </row>
    <row r="218" spans="6:13" ht="13.2">
      <c r="F218" s="15"/>
      <c r="G218" s="15"/>
      <c r="H218" s="16"/>
      <c r="I218" s="16"/>
      <c r="J218" s="11"/>
      <c r="K218" s="11"/>
      <c r="L218" s="13"/>
      <c r="M218" s="13"/>
    </row>
    <row r="219" spans="6:13" ht="13.2">
      <c r="F219" s="15"/>
      <c r="G219" s="15"/>
      <c r="H219" s="16"/>
      <c r="I219" s="16"/>
      <c r="J219" s="11"/>
      <c r="K219" s="11"/>
      <c r="L219" s="13"/>
      <c r="M219" s="13"/>
    </row>
    <row r="220" spans="6:13" ht="13.2">
      <c r="F220" s="15"/>
      <c r="G220" s="15"/>
      <c r="H220" s="16"/>
      <c r="I220" s="16"/>
      <c r="J220" s="11"/>
      <c r="K220" s="11"/>
      <c r="L220" s="13"/>
      <c r="M220" s="13"/>
    </row>
    <row r="221" spans="6:13" ht="13.2">
      <c r="F221" s="15"/>
      <c r="G221" s="15"/>
      <c r="H221" s="16"/>
      <c r="I221" s="16"/>
      <c r="J221" s="11"/>
      <c r="K221" s="11"/>
      <c r="L221" s="13"/>
      <c r="M221" s="13"/>
    </row>
    <row r="222" spans="6:13" ht="13.2">
      <c r="F222" s="15"/>
      <c r="G222" s="15"/>
      <c r="H222" s="16"/>
      <c r="I222" s="16"/>
      <c r="J222" s="11"/>
      <c r="K222" s="11"/>
      <c r="L222" s="13"/>
      <c r="M222" s="13"/>
    </row>
    <row r="223" spans="6:13" ht="13.2">
      <c r="F223" s="15"/>
      <c r="G223" s="15"/>
      <c r="H223" s="16"/>
      <c r="I223" s="16"/>
      <c r="J223" s="11"/>
      <c r="K223" s="11"/>
      <c r="L223" s="13"/>
      <c r="M223" s="13"/>
    </row>
    <row r="224" spans="6:13" ht="13.2">
      <c r="F224" s="15"/>
      <c r="G224" s="15"/>
      <c r="H224" s="16"/>
      <c r="I224" s="16"/>
      <c r="J224" s="11"/>
      <c r="K224" s="11"/>
      <c r="L224" s="13"/>
      <c r="M224" s="13"/>
    </row>
    <row r="225" spans="6:13" ht="13.2">
      <c r="F225" s="15"/>
      <c r="G225" s="15"/>
      <c r="H225" s="16"/>
      <c r="I225" s="16"/>
      <c r="J225" s="11"/>
      <c r="K225" s="11"/>
      <c r="L225" s="13"/>
      <c r="M225" s="13"/>
    </row>
    <row r="226" spans="6:13" ht="13.2">
      <c r="F226" s="15"/>
      <c r="G226" s="15"/>
      <c r="H226" s="16"/>
      <c r="I226" s="16"/>
      <c r="J226" s="11"/>
      <c r="K226" s="11"/>
      <c r="L226" s="13"/>
      <c r="M226" s="13"/>
    </row>
    <row r="227" spans="6:13" ht="13.2">
      <c r="F227" s="15"/>
      <c r="G227" s="15"/>
      <c r="H227" s="16"/>
      <c r="I227" s="16"/>
      <c r="J227" s="11"/>
      <c r="K227" s="11"/>
      <c r="L227" s="13"/>
      <c r="M227" s="13"/>
    </row>
    <row r="228" spans="6:13" ht="13.2">
      <c r="F228" s="15"/>
      <c r="G228" s="15"/>
      <c r="H228" s="16"/>
      <c r="I228" s="16"/>
      <c r="J228" s="11"/>
      <c r="K228" s="11"/>
      <c r="L228" s="13"/>
      <c r="M228" s="13"/>
    </row>
    <row r="229" spans="6:13" ht="13.2">
      <c r="F229" s="15"/>
      <c r="G229" s="15"/>
      <c r="H229" s="16"/>
      <c r="I229" s="16"/>
      <c r="J229" s="11"/>
      <c r="K229" s="11"/>
      <c r="L229" s="13"/>
      <c r="M229" s="13"/>
    </row>
    <row r="230" spans="6:13" ht="13.2">
      <c r="F230" s="15"/>
      <c r="G230" s="15"/>
      <c r="H230" s="16"/>
      <c r="I230" s="16"/>
      <c r="J230" s="11"/>
      <c r="K230" s="11"/>
      <c r="L230" s="13"/>
      <c r="M230" s="13"/>
    </row>
    <row r="231" spans="6:13" ht="13.2">
      <c r="F231" s="15"/>
      <c r="G231" s="15"/>
      <c r="H231" s="16"/>
      <c r="I231" s="16"/>
      <c r="J231" s="11"/>
      <c r="K231" s="11"/>
      <c r="L231" s="13"/>
      <c r="M231" s="13"/>
    </row>
    <row r="232" spans="6:13" ht="13.2">
      <c r="F232" s="15"/>
      <c r="G232" s="15"/>
      <c r="H232" s="16"/>
      <c r="I232" s="16"/>
      <c r="J232" s="11"/>
      <c r="K232" s="11"/>
      <c r="L232" s="13"/>
      <c r="M232" s="13"/>
    </row>
    <row r="233" spans="6:13" ht="13.2">
      <c r="F233" s="15"/>
      <c r="G233" s="15"/>
      <c r="H233" s="16"/>
      <c r="I233" s="16"/>
      <c r="J233" s="11"/>
      <c r="K233" s="11"/>
      <c r="L233" s="13"/>
      <c r="M233" s="13"/>
    </row>
    <row r="234" spans="6:13" ht="13.2">
      <c r="F234" s="15"/>
      <c r="G234" s="15"/>
      <c r="H234" s="16"/>
      <c r="I234" s="16"/>
      <c r="J234" s="11"/>
      <c r="K234" s="11"/>
      <c r="L234" s="13"/>
      <c r="M234" s="13"/>
    </row>
    <row r="235" spans="6:13" ht="13.2">
      <c r="F235" s="15"/>
      <c r="G235" s="15"/>
      <c r="H235" s="16"/>
      <c r="I235" s="16"/>
      <c r="J235" s="11"/>
      <c r="K235" s="11"/>
      <c r="L235" s="13"/>
      <c r="M235" s="13"/>
    </row>
    <row r="236" spans="6:13" ht="13.2">
      <c r="F236" s="15"/>
      <c r="G236" s="15"/>
      <c r="H236" s="16"/>
      <c r="I236" s="16"/>
      <c r="J236" s="11"/>
      <c r="K236" s="11"/>
      <c r="L236" s="13"/>
      <c r="M236" s="13"/>
    </row>
    <row r="237" spans="6:13" ht="13.2">
      <c r="F237" s="15"/>
      <c r="G237" s="15"/>
      <c r="H237" s="16"/>
      <c r="I237" s="16"/>
      <c r="J237" s="11"/>
      <c r="K237" s="11"/>
      <c r="L237" s="13"/>
      <c r="M237" s="13"/>
    </row>
    <row r="238" spans="6:13" ht="13.2">
      <c r="F238" s="15"/>
      <c r="G238" s="15"/>
      <c r="H238" s="16"/>
      <c r="I238" s="16"/>
      <c r="J238" s="11"/>
      <c r="K238" s="11"/>
      <c r="L238" s="13"/>
      <c r="M238" s="13"/>
    </row>
    <row r="239" spans="6:13" ht="13.2">
      <c r="F239" s="15"/>
      <c r="G239" s="15"/>
      <c r="H239" s="16"/>
      <c r="I239" s="16"/>
      <c r="J239" s="11"/>
      <c r="K239" s="11"/>
      <c r="L239" s="13"/>
      <c r="M239" s="13"/>
    </row>
    <row r="240" spans="6:13" ht="13.2">
      <c r="F240" s="15"/>
      <c r="G240" s="15"/>
      <c r="H240" s="16"/>
      <c r="I240" s="16"/>
      <c r="J240" s="11"/>
      <c r="K240" s="11"/>
      <c r="L240" s="13"/>
      <c r="M240" s="13"/>
    </row>
    <row r="241" spans="6:13" ht="13.2">
      <c r="F241" s="15"/>
      <c r="G241" s="15"/>
      <c r="H241" s="16"/>
      <c r="I241" s="16"/>
      <c r="J241" s="11"/>
      <c r="K241" s="11"/>
      <c r="L241" s="13"/>
      <c r="M241" s="13"/>
    </row>
    <row r="242" spans="6:13" ht="13.2">
      <c r="F242" s="15"/>
      <c r="G242" s="15"/>
      <c r="H242" s="16"/>
      <c r="I242" s="16"/>
      <c r="J242" s="11"/>
      <c r="K242" s="11"/>
      <c r="L242" s="13"/>
      <c r="M242" s="13"/>
    </row>
    <row r="243" spans="6:13" ht="13.2">
      <c r="F243" s="15"/>
      <c r="G243" s="15"/>
      <c r="H243" s="16"/>
      <c r="I243" s="16"/>
      <c r="J243" s="11"/>
      <c r="K243" s="11"/>
      <c r="L243" s="13"/>
      <c r="M243" s="13"/>
    </row>
    <row r="244" spans="6:13" ht="13.2">
      <c r="F244" s="15"/>
      <c r="G244" s="15"/>
      <c r="H244" s="16"/>
      <c r="I244" s="16"/>
      <c r="J244" s="11"/>
      <c r="K244" s="11"/>
      <c r="L244" s="13"/>
      <c r="M244" s="13"/>
    </row>
    <row r="245" spans="6:13" ht="13.2">
      <c r="F245" s="15"/>
      <c r="G245" s="15"/>
      <c r="H245" s="16"/>
      <c r="I245" s="16"/>
      <c r="J245" s="11"/>
      <c r="K245" s="11"/>
      <c r="L245" s="13"/>
      <c r="M245" s="13"/>
    </row>
    <row r="246" spans="6:13" ht="13.2">
      <c r="F246" s="15"/>
      <c r="G246" s="15"/>
      <c r="H246" s="16"/>
      <c r="I246" s="16"/>
      <c r="J246" s="11"/>
      <c r="K246" s="11"/>
      <c r="L246" s="13"/>
      <c r="M246" s="13"/>
    </row>
    <row r="247" spans="6:13" ht="13.2">
      <c r="F247" s="15"/>
      <c r="G247" s="15"/>
      <c r="H247" s="16"/>
      <c r="I247" s="16"/>
      <c r="J247" s="11"/>
      <c r="K247" s="11"/>
      <c r="L247" s="13"/>
      <c r="M247" s="13"/>
    </row>
    <row r="248" spans="6:13" ht="13.2">
      <c r="F248" s="15"/>
      <c r="G248" s="15"/>
      <c r="H248" s="16"/>
      <c r="I248" s="16"/>
      <c r="J248" s="11"/>
      <c r="K248" s="11"/>
      <c r="L248" s="13"/>
      <c r="M248" s="13"/>
    </row>
    <row r="249" spans="6:13" ht="13.2">
      <c r="F249" s="15"/>
      <c r="G249" s="15"/>
      <c r="H249" s="16"/>
      <c r="I249" s="16"/>
      <c r="J249" s="11"/>
      <c r="K249" s="11"/>
      <c r="L249" s="13"/>
      <c r="M249" s="13"/>
    </row>
    <row r="250" spans="6:13" ht="13.2">
      <c r="F250" s="15"/>
      <c r="G250" s="15"/>
      <c r="H250" s="16"/>
      <c r="I250" s="16"/>
      <c r="J250" s="11"/>
      <c r="K250" s="11"/>
      <c r="L250" s="13"/>
      <c r="M250" s="13"/>
    </row>
    <row r="251" spans="6:13" ht="13.2">
      <c r="F251" s="15"/>
      <c r="G251" s="15"/>
      <c r="H251" s="16"/>
      <c r="I251" s="16"/>
      <c r="J251" s="11"/>
      <c r="K251" s="11"/>
      <c r="L251" s="13"/>
      <c r="M251" s="13"/>
    </row>
    <row r="252" spans="6:13" ht="13.2">
      <c r="F252" s="15"/>
      <c r="G252" s="15"/>
      <c r="H252" s="16"/>
      <c r="I252" s="16"/>
      <c r="J252" s="11"/>
      <c r="K252" s="11"/>
      <c r="L252" s="13"/>
      <c r="M252" s="13"/>
    </row>
    <row r="253" spans="6:13" ht="13.2">
      <c r="F253" s="15"/>
      <c r="G253" s="15"/>
      <c r="H253" s="16"/>
      <c r="I253" s="16"/>
      <c r="J253" s="11"/>
      <c r="K253" s="11"/>
      <c r="L253" s="13"/>
      <c r="M253" s="13"/>
    </row>
    <row r="254" spans="6:13" ht="13.2">
      <c r="F254" s="15"/>
      <c r="G254" s="15"/>
      <c r="H254" s="16"/>
      <c r="I254" s="16"/>
      <c r="J254" s="11"/>
      <c r="K254" s="11"/>
      <c r="L254" s="13"/>
      <c r="M254" s="13"/>
    </row>
    <row r="255" spans="6:13" ht="13.2">
      <c r="F255" s="15"/>
      <c r="G255" s="15"/>
      <c r="H255" s="16"/>
      <c r="I255" s="16"/>
      <c r="J255" s="11"/>
      <c r="K255" s="11"/>
      <c r="L255" s="13"/>
      <c r="M255" s="13"/>
    </row>
    <row r="256" spans="6:13" ht="13.2">
      <c r="F256" s="15"/>
      <c r="G256" s="15"/>
      <c r="H256" s="16"/>
      <c r="I256" s="16"/>
      <c r="J256" s="11"/>
      <c r="K256" s="11"/>
      <c r="L256" s="13"/>
      <c r="M256" s="13"/>
    </row>
    <row r="257" spans="6:13" ht="13.2">
      <c r="F257" s="15"/>
      <c r="G257" s="15"/>
      <c r="H257" s="16"/>
      <c r="I257" s="16"/>
      <c r="J257" s="11"/>
      <c r="K257" s="11"/>
      <c r="L257" s="13"/>
      <c r="M257" s="13"/>
    </row>
    <row r="258" spans="6:13" ht="13.2">
      <c r="F258" s="15"/>
      <c r="G258" s="15"/>
      <c r="H258" s="16"/>
      <c r="I258" s="16"/>
      <c r="J258" s="11"/>
      <c r="K258" s="11"/>
      <c r="L258" s="13"/>
      <c r="M258" s="13"/>
    </row>
    <row r="259" spans="6:13" ht="13.2">
      <c r="F259" s="15"/>
      <c r="G259" s="15"/>
      <c r="H259" s="16"/>
      <c r="I259" s="16"/>
      <c r="J259" s="11"/>
      <c r="K259" s="11"/>
      <c r="L259" s="13"/>
      <c r="M259" s="13"/>
    </row>
    <row r="260" spans="6:13" ht="13.2">
      <c r="F260" s="15"/>
      <c r="G260" s="15"/>
      <c r="H260" s="16"/>
      <c r="I260" s="16"/>
      <c r="J260" s="11"/>
      <c r="K260" s="11"/>
      <c r="L260" s="13"/>
      <c r="M260" s="13"/>
    </row>
    <row r="261" spans="6:13" ht="13.2">
      <c r="F261" s="15"/>
      <c r="G261" s="15"/>
      <c r="H261" s="16"/>
      <c r="I261" s="16"/>
      <c r="J261" s="11"/>
      <c r="K261" s="11"/>
      <c r="L261" s="13"/>
      <c r="M261" s="13"/>
    </row>
    <row r="262" spans="6:13" ht="13.2">
      <c r="F262" s="15"/>
      <c r="G262" s="15"/>
      <c r="H262" s="16"/>
      <c r="I262" s="16"/>
      <c r="J262" s="11"/>
      <c r="K262" s="11"/>
      <c r="L262" s="13"/>
      <c r="M262" s="13"/>
    </row>
    <row r="263" spans="6:13" ht="13.2">
      <c r="F263" s="15"/>
      <c r="G263" s="15"/>
      <c r="H263" s="16"/>
      <c r="I263" s="16"/>
      <c r="J263" s="11"/>
      <c r="K263" s="11"/>
      <c r="L263" s="13"/>
      <c r="M263" s="13"/>
    </row>
    <row r="264" spans="6:13" ht="13.2">
      <c r="F264" s="15"/>
      <c r="G264" s="15"/>
      <c r="H264" s="16"/>
      <c r="I264" s="16"/>
      <c r="J264" s="11"/>
      <c r="K264" s="11"/>
      <c r="L264" s="13"/>
      <c r="M264" s="13"/>
    </row>
    <row r="265" spans="6:13" ht="13.2">
      <c r="F265" s="15"/>
      <c r="G265" s="15"/>
      <c r="H265" s="16"/>
      <c r="I265" s="16"/>
      <c r="J265" s="11"/>
      <c r="K265" s="11"/>
      <c r="L265" s="13"/>
      <c r="M265" s="13"/>
    </row>
    <row r="266" spans="6:13" ht="13.2">
      <c r="F266" s="15"/>
      <c r="G266" s="15"/>
      <c r="H266" s="16"/>
      <c r="I266" s="16"/>
      <c r="J266" s="11"/>
      <c r="K266" s="11"/>
      <c r="L266" s="13"/>
      <c r="M266" s="13"/>
    </row>
    <row r="267" spans="6:13" ht="13.2">
      <c r="F267" s="15"/>
      <c r="G267" s="15"/>
      <c r="H267" s="16"/>
      <c r="I267" s="16"/>
      <c r="J267" s="11"/>
      <c r="K267" s="11"/>
      <c r="L267" s="13"/>
      <c r="M267" s="13"/>
    </row>
    <row r="268" spans="6:13" ht="13.2">
      <c r="F268" s="15"/>
      <c r="G268" s="15"/>
      <c r="H268" s="16"/>
      <c r="I268" s="16"/>
      <c r="J268" s="11"/>
      <c r="K268" s="11"/>
      <c r="L268" s="13"/>
      <c r="M268" s="13"/>
    </row>
    <row r="269" spans="6:13" ht="13.2">
      <c r="F269" s="15"/>
      <c r="G269" s="15"/>
      <c r="H269" s="16"/>
      <c r="I269" s="16"/>
      <c r="J269" s="11"/>
      <c r="K269" s="11"/>
      <c r="L269" s="13"/>
      <c r="M269" s="13"/>
    </row>
    <row r="270" spans="6:13" ht="13.2">
      <c r="F270" s="15"/>
      <c r="G270" s="15"/>
      <c r="H270" s="16"/>
      <c r="I270" s="16"/>
      <c r="J270" s="11"/>
      <c r="K270" s="11"/>
      <c r="L270" s="13"/>
      <c r="M270" s="13"/>
    </row>
    <row r="271" spans="6:13" ht="13.2">
      <c r="F271" s="15"/>
      <c r="G271" s="15"/>
      <c r="H271" s="16"/>
      <c r="I271" s="16"/>
      <c r="J271" s="11"/>
      <c r="K271" s="11"/>
      <c r="L271" s="13"/>
      <c r="M271" s="13"/>
    </row>
    <row r="272" spans="6:13" ht="13.2">
      <c r="F272" s="15"/>
      <c r="G272" s="15"/>
      <c r="H272" s="16"/>
      <c r="I272" s="16"/>
      <c r="J272" s="11"/>
      <c r="K272" s="11"/>
      <c r="L272" s="13"/>
      <c r="M272" s="13"/>
    </row>
    <row r="273" spans="6:13" ht="13.2">
      <c r="F273" s="15"/>
      <c r="G273" s="15"/>
      <c r="H273" s="16"/>
      <c r="I273" s="16"/>
      <c r="J273" s="11"/>
      <c r="K273" s="11"/>
      <c r="L273" s="13"/>
      <c r="M273" s="13"/>
    </row>
    <row r="274" spans="6:13" ht="13.2">
      <c r="F274" s="15"/>
      <c r="G274" s="15"/>
      <c r="H274" s="16"/>
      <c r="I274" s="16"/>
      <c r="J274" s="11"/>
      <c r="K274" s="11"/>
      <c r="L274" s="13"/>
      <c r="M274" s="13"/>
    </row>
    <row r="275" spans="6:13" ht="13.2">
      <c r="F275" s="15"/>
      <c r="G275" s="15"/>
      <c r="H275" s="16"/>
      <c r="I275" s="16"/>
      <c r="J275" s="11"/>
      <c r="K275" s="11"/>
      <c r="L275" s="13"/>
      <c r="M275" s="13"/>
    </row>
    <row r="276" spans="6:13" ht="13.2">
      <c r="F276" s="15"/>
      <c r="G276" s="15"/>
      <c r="H276" s="16"/>
      <c r="I276" s="16"/>
      <c r="J276" s="11"/>
      <c r="K276" s="11"/>
      <c r="L276" s="13"/>
      <c r="M276" s="13"/>
    </row>
    <row r="277" spans="6:13" ht="13.2">
      <c r="F277" s="15"/>
      <c r="G277" s="15"/>
      <c r="H277" s="16"/>
      <c r="I277" s="16"/>
      <c r="J277" s="11"/>
      <c r="K277" s="11"/>
      <c r="L277" s="13"/>
      <c r="M277" s="13"/>
    </row>
    <row r="278" spans="6:13" ht="13.2">
      <c r="F278" s="15"/>
      <c r="G278" s="15"/>
      <c r="H278" s="16"/>
      <c r="I278" s="16"/>
      <c r="J278" s="11"/>
      <c r="K278" s="11"/>
      <c r="L278" s="13"/>
      <c r="M278" s="13"/>
    </row>
    <row r="279" spans="6:13" ht="13.2">
      <c r="F279" s="15"/>
      <c r="G279" s="15"/>
      <c r="H279" s="16"/>
      <c r="I279" s="16"/>
      <c r="J279" s="11"/>
      <c r="K279" s="11"/>
      <c r="L279" s="13"/>
      <c r="M279" s="13"/>
    </row>
    <row r="280" spans="6:13" ht="13.2">
      <c r="F280" s="15"/>
      <c r="G280" s="15"/>
      <c r="H280" s="16"/>
      <c r="I280" s="16"/>
      <c r="J280" s="11"/>
      <c r="K280" s="11"/>
      <c r="L280" s="13"/>
      <c r="M280" s="13"/>
    </row>
    <row r="281" spans="6:13" ht="13.2">
      <c r="F281" s="15"/>
      <c r="G281" s="15"/>
      <c r="H281" s="16"/>
      <c r="I281" s="16"/>
      <c r="J281" s="11"/>
      <c r="K281" s="11"/>
      <c r="L281" s="13"/>
      <c r="M281" s="13"/>
    </row>
    <row r="282" spans="6:13" ht="13.2">
      <c r="F282" s="15"/>
      <c r="G282" s="15"/>
      <c r="H282" s="16"/>
      <c r="I282" s="16"/>
      <c r="J282" s="11"/>
      <c r="K282" s="11"/>
      <c r="L282" s="13"/>
      <c r="M282" s="13"/>
    </row>
    <row r="283" spans="6:13" ht="13.2">
      <c r="F283" s="15"/>
      <c r="G283" s="15"/>
      <c r="H283" s="16"/>
      <c r="I283" s="16"/>
      <c r="J283" s="11"/>
      <c r="K283" s="11"/>
      <c r="L283" s="13"/>
      <c r="M283" s="13"/>
    </row>
    <row r="284" spans="6:13" ht="13.2">
      <c r="F284" s="15"/>
      <c r="G284" s="15"/>
      <c r="H284" s="16"/>
      <c r="I284" s="16"/>
      <c r="J284" s="11"/>
      <c r="K284" s="11"/>
      <c r="L284" s="13"/>
      <c r="M284" s="13"/>
    </row>
    <row r="285" spans="6:13" ht="13.2">
      <c r="F285" s="15"/>
      <c r="G285" s="15"/>
      <c r="H285" s="16"/>
      <c r="I285" s="16"/>
      <c r="J285" s="11"/>
      <c r="K285" s="11"/>
      <c r="L285" s="13"/>
      <c r="M285" s="13"/>
    </row>
    <row r="286" spans="6:13" ht="13.2">
      <c r="F286" s="15"/>
      <c r="G286" s="15"/>
      <c r="H286" s="16"/>
      <c r="I286" s="16"/>
      <c r="J286" s="11"/>
      <c r="K286" s="11"/>
      <c r="L286" s="13"/>
      <c r="M286" s="13"/>
    </row>
    <row r="287" spans="6:13" ht="13.2">
      <c r="F287" s="15"/>
      <c r="G287" s="15"/>
      <c r="H287" s="16"/>
      <c r="I287" s="16"/>
      <c r="J287" s="11"/>
      <c r="K287" s="11"/>
      <c r="L287" s="13"/>
      <c r="M287" s="13"/>
    </row>
    <row r="288" spans="6:13" ht="13.2">
      <c r="F288" s="15"/>
      <c r="G288" s="15"/>
      <c r="H288" s="16"/>
      <c r="I288" s="16"/>
      <c r="J288" s="11"/>
      <c r="K288" s="11"/>
      <c r="L288" s="13"/>
      <c r="M288" s="13"/>
    </row>
    <row r="289" spans="6:13" ht="13.2">
      <c r="F289" s="15"/>
      <c r="G289" s="15"/>
      <c r="H289" s="16"/>
      <c r="I289" s="16"/>
      <c r="J289" s="11"/>
      <c r="K289" s="11"/>
      <c r="L289" s="13"/>
      <c r="M289" s="13"/>
    </row>
    <row r="290" spans="6:13" ht="13.2">
      <c r="F290" s="15"/>
      <c r="G290" s="15"/>
      <c r="H290" s="16"/>
      <c r="I290" s="16"/>
      <c r="J290" s="11"/>
      <c r="K290" s="11"/>
      <c r="L290" s="13"/>
      <c r="M290" s="13"/>
    </row>
    <row r="291" spans="6:13" ht="13.2">
      <c r="F291" s="15"/>
      <c r="G291" s="15"/>
      <c r="H291" s="16"/>
      <c r="I291" s="16"/>
      <c r="J291" s="11"/>
      <c r="K291" s="11"/>
      <c r="L291" s="13"/>
      <c r="M291" s="13"/>
    </row>
    <row r="292" spans="6:13" ht="13.2">
      <c r="F292" s="15"/>
      <c r="G292" s="15"/>
      <c r="H292" s="16"/>
      <c r="I292" s="16"/>
      <c r="J292" s="11"/>
      <c r="K292" s="11"/>
      <c r="L292" s="13"/>
      <c r="M292" s="13"/>
    </row>
    <row r="293" spans="6:13" ht="13.2">
      <c r="F293" s="15"/>
      <c r="G293" s="15"/>
      <c r="H293" s="16"/>
      <c r="I293" s="16"/>
      <c r="J293" s="11"/>
      <c r="K293" s="11"/>
      <c r="L293" s="13"/>
      <c r="M293" s="13"/>
    </row>
    <row r="294" spans="6:13" ht="13.2">
      <c r="F294" s="15"/>
      <c r="G294" s="15"/>
      <c r="H294" s="16"/>
      <c r="I294" s="16"/>
      <c r="J294" s="11"/>
      <c r="K294" s="11"/>
      <c r="L294" s="13"/>
      <c r="M294" s="13"/>
    </row>
    <row r="295" spans="6:13" ht="13.2">
      <c r="F295" s="15"/>
      <c r="G295" s="15"/>
      <c r="H295" s="16"/>
      <c r="I295" s="16"/>
      <c r="J295" s="11"/>
      <c r="K295" s="11"/>
      <c r="L295" s="13"/>
      <c r="M295" s="13"/>
    </row>
    <row r="296" spans="6:13" ht="13.2">
      <c r="F296" s="15"/>
      <c r="G296" s="15"/>
      <c r="H296" s="16"/>
      <c r="I296" s="16"/>
      <c r="J296" s="11"/>
      <c r="K296" s="11"/>
      <c r="L296" s="13"/>
      <c r="M296" s="13"/>
    </row>
    <row r="297" spans="6:13" ht="13.2">
      <c r="F297" s="15"/>
      <c r="G297" s="15"/>
      <c r="H297" s="16"/>
      <c r="I297" s="16"/>
      <c r="J297" s="11"/>
      <c r="K297" s="11"/>
      <c r="L297" s="13"/>
      <c r="M297" s="13"/>
    </row>
    <row r="298" spans="6:13" ht="13.2">
      <c r="F298" s="15"/>
      <c r="G298" s="15"/>
      <c r="H298" s="16"/>
      <c r="I298" s="16"/>
      <c r="J298" s="11"/>
      <c r="K298" s="11"/>
      <c r="L298" s="13"/>
      <c r="M298" s="13"/>
    </row>
    <row r="299" spans="6:13" ht="13.2">
      <c r="F299" s="15"/>
      <c r="G299" s="15"/>
      <c r="H299" s="16"/>
      <c r="I299" s="16"/>
      <c r="J299" s="11"/>
      <c r="K299" s="11"/>
      <c r="L299" s="13"/>
      <c r="M299" s="13"/>
    </row>
    <row r="300" spans="6:13" ht="13.2">
      <c r="F300" s="15"/>
      <c r="G300" s="15"/>
      <c r="H300" s="16"/>
      <c r="I300" s="16"/>
      <c r="J300" s="11"/>
      <c r="K300" s="11"/>
      <c r="L300" s="13"/>
      <c r="M300" s="13"/>
    </row>
    <row r="301" spans="6:13" ht="13.2">
      <c r="F301" s="15"/>
      <c r="G301" s="15"/>
      <c r="H301" s="16"/>
      <c r="I301" s="16"/>
      <c r="J301" s="11"/>
      <c r="K301" s="11"/>
      <c r="L301" s="13"/>
      <c r="M301" s="13"/>
    </row>
    <row r="302" spans="6:13" ht="13.2">
      <c r="F302" s="15"/>
      <c r="G302" s="15"/>
      <c r="H302" s="16"/>
      <c r="I302" s="16"/>
      <c r="J302" s="11"/>
      <c r="K302" s="11"/>
      <c r="L302" s="13"/>
      <c r="M302" s="13"/>
    </row>
    <row r="303" spans="6:13" ht="13.2">
      <c r="F303" s="15"/>
      <c r="G303" s="15"/>
      <c r="H303" s="16"/>
      <c r="I303" s="16"/>
      <c r="J303" s="11"/>
      <c r="K303" s="11"/>
      <c r="L303" s="13"/>
      <c r="M303" s="13"/>
    </row>
    <row r="304" spans="6:13" ht="13.2">
      <c r="F304" s="15"/>
      <c r="G304" s="15"/>
      <c r="H304" s="16"/>
      <c r="I304" s="16"/>
      <c r="J304" s="11"/>
      <c r="K304" s="11"/>
      <c r="L304" s="13"/>
      <c r="M304" s="13"/>
    </row>
    <row r="305" spans="6:13" ht="13.2">
      <c r="F305" s="15"/>
      <c r="G305" s="15"/>
      <c r="H305" s="16"/>
      <c r="I305" s="16"/>
      <c r="J305" s="11"/>
      <c r="K305" s="11"/>
      <c r="L305" s="13"/>
      <c r="M305" s="13"/>
    </row>
    <row r="306" spans="6:13" ht="13.2">
      <c r="F306" s="15"/>
      <c r="G306" s="15"/>
      <c r="H306" s="16"/>
      <c r="I306" s="16"/>
      <c r="J306" s="11"/>
      <c r="K306" s="11"/>
      <c r="L306" s="13"/>
      <c r="M306" s="13"/>
    </row>
    <row r="307" spans="6:13" ht="13.2">
      <c r="F307" s="15"/>
      <c r="G307" s="15"/>
      <c r="H307" s="16"/>
      <c r="I307" s="16"/>
      <c r="J307" s="11"/>
      <c r="K307" s="11"/>
      <c r="L307" s="13"/>
      <c r="M307" s="13"/>
    </row>
    <row r="308" spans="6:13" ht="13.2">
      <c r="F308" s="15"/>
      <c r="G308" s="15"/>
      <c r="H308" s="16"/>
      <c r="I308" s="16"/>
      <c r="J308" s="11"/>
      <c r="K308" s="11"/>
      <c r="L308" s="13"/>
      <c r="M308" s="13"/>
    </row>
    <row r="309" spans="6:13" ht="13.2">
      <c r="F309" s="15"/>
      <c r="G309" s="15"/>
      <c r="H309" s="16"/>
      <c r="I309" s="16"/>
      <c r="J309" s="11"/>
      <c r="K309" s="11"/>
      <c r="L309" s="13"/>
      <c r="M309" s="13"/>
    </row>
    <row r="310" spans="6:13" ht="13.2">
      <c r="F310" s="15"/>
      <c r="G310" s="15"/>
      <c r="H310" s="16"/>
      <c r="I310" s="16"/>
      <c r="J310" s="11"/>
      <c r="K310" s="11"/>
      <c r="L310" s="13"/>
      <c r="M310" s="13"/>
    </row>
    <row r="311" spans="6:13" ht="13.2">
      <c r="F311" s="15"/>
      <c r="G311" s="15"/>
      <c r="H311" s="16"/>
      <c r="I311" s="16"/>
      <c r="J311" s="11"/>
      <c r="K311" s="11"/>
      <c r="L311" s="13"/>
      <c r="M311" s="13"/>
    </row>
    <row r="312" spans="6:13" ht="13.2">
      <c r="F312" s="15"/>
      <c r="G312" s="15"/>
      <c r="H312" s="16"/>
      <c r="I312" s="16"/>
      <c r="J312" s="11"/>
      <c r="K312" s="11"/>
      <c r="L312" s="13"/>
      <c r="M312" s="13"/>
    </row>
    <row r="313" spans="6:13" ht="13.2">
      <c r="F313" s="15"/>
      <c r="G313" s="15"/>
      <c r="H313" s="16"/>
      <c r="I313" s="16"/>
      <c r="J313" s="11"/>
      <c r="K313" s="11"/>
      <c r="L313" s="13"/>
      <c r="M313" s="13"/>
    </row>
    <row r="314" spans="6:13" ht="13.2">
      <c r="F314" s="15"/>
      <c r="G314" s="15"/>
      <c r="H314" s="16"/>
      <c r="I314" s="16"/>
      <c r="J314" s="11"/>
      <c r="K314" s="11"/>
      <c r="L314" s="13"/>
      <c r="M314" s="13"/>
    </row>
    <row r="315" spans="6:13" ht="13.2">
      <c r="F315" s="15"/>
      <c r="G315" s="15"/>
      <c r="H315" s="16"/>
      <c r="I315" s="16"/>
      <c r="J315" s="11"/>
      <c r="K315" s="11"/>
      <c r="L315" s="13"/>
      <c r="M315" s="13"/>
    </row>
    <row r="316" spans="6:13" ht="13.2">
      <c r="F316" s="15"/>
      <c r="G316" s="15"/>
      <c r="H316" s="16"/>
      <c r="I316" s="16"/>
      <c r="J316" s="11"/>
      <c r="K316" s="11"/>
      <c r="L316" s="13"/>
      <c r="M316" s="13"/>
    </row>
    <row r="317" spans="6:13" ht="13.2">
      <c r="F317" s="15"/>
      <c r="G317" s="15"/>
      <c r="H317" s="16"/>
      <c r="I317" s="16"/>
      <c r="J317" s="11"/>
      <c r="K317" s="11"/>
      <c r="L317" s="13"/>
      <c r="M317" s="13"/>
    </row>
    <row r="318" spans="6:13" ht="13.2">
      <c r="F318" s="15"/>
      <c r="G318" s="15"/>
      <c r="H318" s="16"/>
      <c r="I318" s="16"/>
      <c r="J318" s="11"/>
      <c r="K318" s="11"/>
      <c r="L318" s="13"/>
      <c r="M318" s="13"/>
    </row>
    <row r="319" spans="6:13" ht="13.2">
      <c r="F319" s="15"/>
      <c r="G319" s="15"/>
      <c r="H319" s="16"/>
      <c r="I319" s="16"/>
      <c r="J319" s="11"/>
      <c r="K319" s="11"/>
      <c r="L319" s="13"/>
      <c r="M319" s="13"/>
    </row>
    <row r="320" spans="6:13" ht="13.2">
      <c r="F320" s="15"/>
      <c r="G320" s="15"/>
      <c r="H320" s="16"/>
      <c r="I320" s="16"/>
      <c r="J320" s="11"/>
      <c r="K320" s="11"/>
      <c r="L320" s="13"/>
      <c r="M320" s="13"/>
    </row>
    <row r="321" spans="6:13" ht="13.2">
      <c r="F321" s="15"/>
      <c r="G321" s="15"/>
      <c r="H321" s="16"/>
      <c r="I321" s="16"/>
      <c r="J321" s="11"/>
      <c r="K321" s="11"/>
      <c r="L321" s="13"/>
      <c r="M321" s="13"/>
    </row>
    <row r="322" spans="6:13" ht="13.2">
      <c r="F322" s="15"/>
      <c r="G322" s="15"/>
      <c r="H322" s="16"/>
      <c r="I322" s="16"/>
      <c r="J322" s="11"/>
      <c r="K322" s="11"/>
      <c r="L322" s="13"/>
      <c r="M322" s="13"/>
    </row>
    <row r="323" spans="6:13" ht="13.2">
      <c r="F323" s="15"/>
      <c r="G323" s="15"/>
      <c r="H323" s="16"/>
      <c r="I323" s="16"/>
      <c r="J323" s="11"/>
      <c r="K323" s="11"/>
      <c r="L323" s="13"/>
      <c r="M323" s="13"/>
    </row>
    <row r="324" spans="6:13" ht="13.2">
      <c r="F324" s="15"/>
      <c r="G324" s="15"/>
      <c r="H324" s="16"/>
      <c r="I324" s="16"/>
      <c r="J324" s="11"/>
      <c r="K324" s="11"/>
      <c r="L324" s="13"/>
      <c r="M324" s="13"/>
    </row>
    <row r="325" spans="6:13" ht="13.2">
      <c r="F325" s="15"/>
      <c r="G325" s="15"/>
      <c r="H325" s="16"/>
      <c r="I325" s="16"/>
      <c r="J325" s="11"/>
      <c r="K325" s="11"/>
      <c r="L325" s="13"/>
      <c r="M325" s="13"/>
    </row>
    <row r="326" spans="6:13" ht="13.2">
      <c r="F326" s="15"/>
      <c r="G326" s="15"/>
      <c r="H326" s="16"/>
      <c r="I326" s="16"/>
      <c r="J326" s="11"/>
      <c r="K326" s="11"/>
      <c r="L326" s="13"/>
      <c r="M326" s="13"/>
    </row>
    <row r="327" spans="6:13" ht="13.2">
      <c r="F327" s="15"/>
      <c r="G327" s="15"/>
      <c r="H327" s="16"/>
      <c r="I327" s="16"/>
      <c r="J327" s="11"/>
      <c r="K327" s="11"/>
      <c r="L327" s="13"/>
      <c r="M327" s="13"/>
    </row>
    <row r="328" spans="6:13" ht="13.2">
      <c r="F328" s="15"/>
      <c r="G328" s="15"/>
      <c r="H328" s="16"/>
      <c r="I328" s="16"/>
      <c r="J328" s="11"/>
      <c r="K328" s="11"/>
      <c r="L328" s="13"/>
      <c r="M328" s="13"/>
    </row>
    <row r="329" spans="6:13" ht="13.2">
      <c r="F329" s="15"/>
      <c r="G329" s="15"/>
      <c r="H329" s="16"/>
      <c r="I329" s="16"/>
      <c r="J329" s="11"/>
      <c r="K329" s="11"/>
      <c r="L329" s="13"/>
      <c r="M329" s="13"/>
    </row>
    <row r="330" spans="6:13" ht="13.2">
      <c r="F330" s="15"/>
      <c r="G330" s="15"/>
      <c r="H330" s="16"/>
      <c r="I330" s="16"/>
      <c r="J330" s="11"/>
      <c r="K330" s="11"/>
      <c r="L330" s="13"/>
      <c r="M330" s="13"/>
    </row>
    <row r="331" spans="6:13" ht="13.2">
      <c r="F331" s="15"/>
      <c r="G331" s="15"/>
      <c r="H331" s="16"/>
      <c r="I331" s="16"/>
      <c r="J331" s="11"/>
      <c r="K331" s="11"/>
      <c r="L331" s="13"/>
      <c r="M331" s="13"/>
    </row>
    <row r="332" spans="6:13" ht="13.2">
      <c r="F332" s="15"/>
      <c r="G332" s="15"/>
      <c r="H332" s="16"/>
      <c r="I332" s="16"/>
      <c r="J332" s="11"/>
      <c r="K332" s="11"/>
      <c r="L332" s="13"/>
      <c r="M332" s="13"/>
    </row>
    <row r="333" spans="6:13" ht="13.2">
      <c r="F333" s="15"/>
      <c r="G333" s="15"/>
      <c r="H333" s="16"/>
      <c r="I333" s="16"/>
      <c r="J333" s="11"/>
      <c r="K333" s="11"/>
      <c r="L333" s="13"/>
      <c r="M333" s="13"/>
    </row>
    <row r="334" spans="6:13" ht="13.2">
      <c r="F334" s="15"/>
      <c r="G334" s="15"/>
      <c r="H334" s="16"/>
      <c r="I334" s="16"/>
      <c r="J334" s="11"/>
      <c r="K334" s="11"/>
      <c r="L334" s="13"/>
      <c r="M334" s="13"/>
    </row>
    <row r="335" spans="6:13" ht="13.2">
      <c r="F335" s="15"/>
      <c r="G335" s="15"/>
      <c r="H335" s="16"/>
      <c r="I335" s="16"/>
      <c r="J335" s="11"/>
      <c r="K335" s="11"/>
      <c r="L335" s="13"/>
      <c r="M335" s="13"/>
    </row>
    <row r="336" spans="6:13" ht="13.2">
      <c r="F336" s="15"/>
      <c r="G336" s="15"/>
      <c r="H336" s="16"/>
      <c r="I336" s="16"/>
      <c r="J336" s="11"/>
      <c r="K336" s="11"/>
      <c r="L336" s="13"/>
      <c r="M336" s="13"/>
    </row>
    <row r="337" spans="6:13" ht="13.2">
      <c r="F337" s="15"/>
      <c r="G337" s="15"/>
      <c r="H337" s="16"/>
      <c r="I337" s="16"/>
      <c r="J337" s="11"/>
      <c r="K337" s="11"/>
      <c r="L337" s="13"/>
      <c r="M337" s="13"/>
    </row>
    <row r="338" spans="6:13" ht="13.2">
      <c r="F338" s="15"/>
      <c r="G338" s="15"/>
      <c r="H338" s="16"/>
      <c r="I338" s="16"/>
      <c r="J338" s="11"/>
      <c r="K338" s="11"/>
      <c r="L338" s="13"/>
      <c r="M338" s="13"/>
    </row>
    <row r="339" spans="6:13" ht="13.2">
      <c r="F339" s="15"/>
      <c r="G339" s="15"/>
      <c r="H339" s="16"/>
      <c r="I339" s="16"/>
      <c r="J339" s="11"/>
      <c r="K339" s="11"/>
      <c r="L339" s="13"/>
      <c r="M339" s="13"/>
    </row>
    <row r="340" spans="6:13" ht="13.2">
      <c r="F340" s="15"/>
      <c r="G340" s="15"/>
      <c r="H340" s="16"/>
      <c r="I340" s="16"/>
      <c r="J340" s="11"/>
      <c r="K340" s="11"/>
      <c r="L340" s="13"/>
      <c r="M340" s="13"/>
    </row>
    <row r="341" spans="6:13" ht="13.2">
      <c r="F341" s="15"/>
      <c r="G341" s="15"/>
      <c r="H341" s="16"/>
      <c r="I341" s="16"/>
      <c r="J341" s="11"/>
      <c r="K341" s="11"/>
      <c r="L341" s="13"/>
      <c r="M341" s="13"/>
    </row>
    <row r="342" spans="6:13" ht="13.2">
      <c r="F342" s="15"/>
      <c r="G342" s="15"/>
      <c r="H342" s="16"/>
      <c r="I342" s="16"/>
      <c r="J342" s="11"/>
      <c r="K342" s="11"/>
      <c r="L342" s="13"/>
      <c r="M342" s="13"/>
    </row>
    <row r="343" spans="6:13" ht="13.2">
      <c r="F343" s="15"/>
      <c r="G343" s="15"/>
      <c r="H343" s="16"/>
      <c r="I343" s="16"/>
      <c r="J343" s="11"/>
      <c r="K343" s="11"/>
      <c r="L343" s="13"/>
      <c r="M343" s="13"/>
    </row>
    <row r="344" spans="6:13" ht="13.2">
      <c r="F344" s="15"/>
      <c r="G344" s="15"/>
      <c r="H344" s="16"/>
      <c r="I344" s="16"/>
      <c r="J344" s="11"/>
      <c r="K344" s="11"/>
      <c r="L344" s="13"/>
      <c r="M344" s="13"/>
    </row>
    <row r="345" spans="6:13" ht="13.2">
      <c r="F345" s="15"/>
      <c r="G345" s="15"/>
      <c r="H345" s="16"/>
      <c r="I345" s="16"/>
      <c r="J345" s="11"/>
      <c r="K345" s="11"/>
      <c r="L345" s="13"/>
      <c r="M345" s="13"/>
    </row>
    <row r="346" spans="6:13" ht="13.2">
      <c r="F346" s="15"/>
      <c r="G346" s="15"/>
      <c r="H346" s="16"/>
      <c r="I346" s="16"/>
      <c r="J346" s="11"/>
      <c r="K346" s="11"/>
      <c r="L346" s="13"/>
      <c r="M346" s="13"/>
    </row>
    <row r="347" spans="6:13" ht="13.2">
      <c r="F347" s="15"/>
      <c r="G347" s="15"/>
      <c r="H347" s="16"/>
      <c r="I347" s="16"/>
      <c r="J347" s="11"/>
      <c r="K347" s="11"/>
      <c r="L347" s="13"/>
      <c r="M347" s="13"/>
    </row>
    <row r="348" spans="6:13" ht="13.2">
      <c r="F348" s="15"/>
      <c r="G348" s="15"/>
      <c r="H348" s="16"/>
      <c r="I348" s="16"/>
      <c r="J348" s="11"/>
      <c r="K348" s="11"/>
      <c r="L348" s="13"/>
      <c r="M348" s="13"/>
    </row>
    <row r="349" spans="6:13" ht="13.2">
      <c r="F349" s="15"/>
      <c r="G349" s="15"/>
      <c r="H349" s="16"/>
      <c r="I349" s="16"/>
      <c r="J349" s="11"/>
      <c r="K349" s="11"/>
      <c r="L349" s="13"/>
      <c r="M349" s="13"/>
    </row>
    <row r="350" spans="6:13" ht="13.2">
      <c r="F350" s="15"/>
      <c r="G350" s="15"/>
      <c r="H350" s="16"/>
      <c r="I350" s="16"/>
      <c r="J350" s="11"/>
      <c r="K350" s="11"/>
      <c r="L350" s="13"/>
      <c r="M350" s="13"/>
    </row>
    <row r="351" spans="6:13" ht="13.2">
      <c r="F351" s="15"/>
      <c r="G351" s="15"/>
      <c r="H351" s="16"/>
      <c r="I351" s="16"/>
      <c r="J351" s="11"/>
      <c r="K351" s="11"/>
      <c r="L351" s="13"/>
      <c r="M351" s="13"/>
    </row>
    <row r="352" spans="6:13" ht="13.2">
      <c r="F352" s="15"/>
      <c r="G352" s="15"/>
      <c r="H352" s="16"/>
      <c r="I352" s="16"/>
      <c r="J352" s="11"/>
      <c r="K352" s="11"/>
      <c r="L352" s="13"/>
      <c r="M352" s="13"/>
    </row>
    <row r="353" spans="6:13" ht="13.2">
      <c r="F353" s="15"/>
      <c r="G353" s="15"/>
      <c r="H353" s="16"/>
      <c r="I353" s="16"/>
      <c r="J353" s="11"/>
      <c r="K353" s="11"/>
      <c r="L353" s="13"/>
      <c r="M353" s="13"/>
    </row>
    <row r="354" spans="6:13" ht="13.2">
      <c r="F354" s="15"/>
      <c r="G354" s="15"/>
      <c r="H354" s="16"/>
      <c r="I354" s="16"/>
      <c r="J354" s="11"/>
      <c r="K354" s="11"/>
      <c r="L354" s="13"/>
      <c r="M354" s="13"/>
    </row>
    <row r="355" spans="6:13" ht="13.2">
      <c r="F355" s="15"/>
      <c r="G355" s="15"/>
      <c r="H355" s="16"/>
      <c r="I355" s="16"/>
      <c r="J355" s="11"/>
      <c r="K355" s="11"/>
      <c r="L355" s="13"/>
      <c r="M355" s="13"/>
    </row>
    <row r="356" spans="6:13" ht="13.2">
      <c r="F356" s="15"/>
      <c r="G356" s="15"/>
      <c r="H356" s="16"/>
      <c r="I356" s="16"/>
      <c r="J356" s="11"/>
      <c r="K356" s="11"/>
      <c r="L356" s="13"/>
      <c r="M356" s="13"/>
    </row>
    <row r="357" spans="6:13" ht="13.2">
      <c r="F357" s="15"/>
      <c r="G357" s="15"/>
      <c r="H357" s="16"/>
      <c r="I357" s="16"/>
      <c r="J357" s="11"/>
      <c r="K357" s="11"/>
      <c r="L357" s="13"/>
      <c r="M357" s="13"/>
    </row>
    <row r="358" spans="6:13" ht="13.2">
      <c r="F358" s="15"/>
      <c r="G358" s="15"/>
      <c r="H358" s="16"/>
      <c r="I358" s="16"/>
      <c r="J358" s="11"/>
      <c r="K358" s="11"/>
      <c r="L358" s="13"/>
      <c r="M358" s="13"/>
    </row>
    <row r="359" spans="6:13" ht="13.2">
      <c r="F359" s="15"/>
      <c r="G359" s="15"/>
      <c r="H359" s="16"/>
      <c r="I359" s="16"/>
      <c r="J359" s="11"/>
      <c r="K359" s="11"/>
      <c r="L359" s="13"/>
      <c r="M359" s="13"/>
    </row>
    <row r="360" spans="6:13" ht="13.2">
      <c r="F360" s="15"/>
      <c r="G360" s="15"/>
      <c r="H360" s="16"/>
      <c r="I360" s="16"/>
      <c r="J360" s="11"/>
      <c r="K360" s="11"/>
      <c r="L360" s="13"/>
      <c r="M360" s="13"/>
    </row>
    <row r="361" spans="6:13" ht="13.2">
      <c r="F361" s="15"/>
      <c r="G361" s="15"/>
      <c r="H361" s="16"/>
      <c r="I361" s="16"/>
      <c r="J361" s="11"/>
      <c r="K361" s="11"/>
      <c r="L361" s="13"/>
      <c r="M361" s="13"/>
    </row>
    <row r="362" spans="6:13" ht="13.2">
      <c r="F362" s="15"/>
      <c r="G362" s="15"/>
      <c r="H362" s="16"/>
      <c r="I362" s="16"/>
      <c r="J362" s="11"/>
      <c r="K362" s="11"/>
      <c r="L362" s="13"/>
      <c r="M362" s="13"/>
    </row>
    <row r="363" spans="6:13" ht="13.2">
      <c r="F363" s="15"/>
      <c r="G363" s="15"/>
      <c r="H363" s="16"/>
      <c r="I363" s="16"/>
      <c r="J363" s="11"/>
      <c r="K363" s="11"/>
      <c r="L363" s="13"/>
      <c r="M363" s="13"/>
    </row>
    <row r="364" spans="6:13" ht="13.2">
      <c r="F364" s="15"/>
      <c r="G364" s="15"/>
      <c r="H364" s="16"/>
      <c r="I364" s="16"/>
      <c r="J364" s="11"/>
      <c r="K364" s="11"/>
      <c r="L364" s="13"/>
      <c r="M364" s="13"/>
    </row>
    <row r="365" spans="6:13" ht="13.2">
      <c r="F365" s="15"/>
      <c r="G365" s="15"/>
      <c r="H365" s="16"/>
      <c r="I365" s="16"/>
      <c r="J365" s="11"/>
      <c r="K365" s="11"/>
      <c r="L365" s="13"/>
      <c r="M365" s="13"/>
    </row>
    <row r="366" spans="6:13" ht="13.2">
      <c r="F366" s="15"/>
      <c r="G366" s="15"/>
      <c r="H366" s="16"/>
      <c r="I366" s="16"/>
      <c r="J366" s="11"/>
      <c r="K366" s="11"/>
      <c r="L366" s="13"/>
      <c r="M366" s="13"/>
    </row>
    <row r="367" spans="6:13" ht="13.2">
      <c r="F367" s="15"/>
      <c r="G367" s="15"/>
      <c r="H367" s="16"/>
      <c r="I367" s="16"/>
      <c r="J367" s="11"/>
      <c r="K367" s="11"/>
      <c r="L367" s="13"/>
      <c r="M367" s="13"/>
    </row>
    <row r="368" spans="6:13" ht="13.2">
      <c r="F368" s="15"/>
      <c r="G368" s="15"/>
      <c r="H368" s="16"/>
      <c r="I368" s="16"/>
      <c r="J368" s="11"/>
      <c r="K368" s="11"/>
      <c r="L368" s="13"/>
      <c r="M368" s="13"/>
    </row>
    <row r="369" spans="6:13" ht="13.2">
      <c r="F369" s="15"/>
      <c r="G369" s="15"/>
      <c r="H369" s="16"/>
      <c r="I369" s="16"/>
      <c r="J369" s="11"/>
      <c r="K369" s="11"/>
      <c r="L369" s="13"/>
      <c r="M369" s="13"/>
    </row>
    <row r="370" spans="6:13" ht="13.2">
      <c r="F370" s="15"/>
      <c r="G370" s="15"/>
      <c r="H370" s="16"/>
      <c r="I370" s="16"/>
      <c r="J370" s="11"/>
      <c r="K370" s="11"/>
      <c r="L370" s="13"/>
      <c r="M370" s="13"/>
    </row>
    <row r="371" spans="6:13" ht="13.2">
      <c r="F371" s="15"/>
      <c r="G371" s="15"/>
      <c r="H371" s="16"/>
      <c r="I371" s="16"/>
      <c r="J371" s="11"/>
      <c r="K371" s="11"/>
      <c r="L371" s="13"/>
      <c r="M371" s="13"/>
    </row>
    <row r="372" spans="6:13" ht="13.2">
      <c r="F372" s="15"/>
      <c r="G372" s="15"/>
      <c r="H372" s="16"/>
      <c r="I372" s="16"/>
      <c r="J372" s="11"/>
      <c r="K372" s="11"/>
      <c r="L372" s="13"/>
      <c r="M372" s="13"/>
    </row>
    <row r="373" spans="6:13" ht="13.2">
      <c r="F373" s="15"/>
      <c r="G373" s="15"/>
      <c r="H373" s="16"/>
      <c r="I373" s="16"/>
      <c r="J373" s="11"/>
      <c r="K373" s="11"/>
      <c r="L373" s="13"/>
      <c r="M373" s="13"/>
    </row>
    <row r="374" spans="6:13" ht="13.2">
      <c r="F374" s="15"/>
      <c r="G374" s="15"/>
      <c r="H374" s="16"/>
      <c r="I374" s="16"/>
      <c r="J374" s="11"/>
      <c r="K374" s="11"/>
      <c r="L374" s="13"/>
      <c r="M374" s="13"/>
    </row>
    <row r="375" spans="6:13" ht="13.2">
      <c r="F375" s="15"/>
      <c r="G375" s="15"/>
      <c r="H375" s="16"/>
      <c r="I375" s="16"/>
      <c r="J375" s="11"/>
      <c r="K375" s="11"/>
      <c r="L375" s="13"/>
      <c r="M375" s="13"/>
    </row>
    <row r="376" spans="6:13" ht="13.2">
      <c r="F376" s="15"/>
      <c r="G376" s="15"/>
      <c r="H376" s="16"/>
      <c r="I376" s="16"/>
      <c r="J376" s="11"/>
      <c r="K376" s="11"/>
      <c r="L376" s="13"/>
      <c r="M376" s="13"/>
    </row>
    <row r="377" spans="6:13" ht="13.2">
      <c r="F377" s="15"/>
      <c r="G377" s="15"/>
      <c r="H377" s="16"/>
      <c r="I377" s="16"/>
      <c r="J377" s="11"/>
      <c r="K377" s="11"/>
      <c r="L377" s="13"/>
      <c r="M377" s="13"/>
    </row>
    <row r="378" spans="6:13" ht="13.2">
      <c r="F378" s="15"/>
      <c r="G378" s="15"/>
      <c r="H378" s="16"/>
      <c r="I378" s="16"/>
      <c r="J378" s="11"/>
      <c r="K378" s="11"/>
      <c r="L378" s="13"/>
      <c r="M378" s="13"/>
    </row>
    <row r="379" spans="6:13" ht="13.2">
      <c r="F379" s="15"/>
      <c r="G379" s="15"/>
      <c r="H379" s="16"/>
      <c r="I379" s="16"/>
      <c r="J379" s="11"/>
      <c r="K379" s="11"/>
      <c r="L379" s="13"/>
      <c r="M379" s="13"/>
    </row>
    <row r="380" spans="6:13" ht="13.2">
      <c r="F380" s="15"/>
      <c r="G380" s="15"/>
      <c r="H380" s="16"/>
      <c r="I380" s="16"/>
      <c r="J380" s="11"/>
      <c r="K380" s="11"/>
      <c r="L380" s="13"/>
      <c r="M380" s="13"/>
    </row>
    <row r="381" spans="6:13" ht="13.2">
      <c r="F381" s="15"/>
      <c r="G381" s="15"/>
      <c r="H381" s="16"/>
      <c r="I381" s="16"/>
      <c r="J381" s="11"/>
      <c r="K381" s="11"/>
      <c r="L381" s="13"/>
      <c r="M381" s="13"/>
    </row>
    <row r="382" spans="6:13" ht="13.2">
      <c r="F382" s="15"/>
      <c r="G382" s="15"/>
      <c r="H382" s="16"/>
      <c r="I382" s="16"/>
      <c r="J382" s="11"/>
      <c r="K382" s="11"/>
      <c r="L382" s="13"/>
      <c r="M382" s="13"/>
    </row>
    <row r="383" spans="6:13" ht="13.2">
      <c r="F383" s="15"/>
      <c r="G383" s="15"/>
      <c r="H383" s="16"/>
      <c r="I383" s="16"/>
      <c r="J383" s="11"/>
      <c r="K383" s="11"/>
      <c r="L383" s="13"/>
      <c r="M383" s="13"/>
    </row>
    <row r="384" spans="6:13" ht="13.2">
      <c r="F384" s="15"/>
      <c r="G384" s="15"/>
      <c r="H384" s="16"/>
      <c r="I384" s="16"/>
      <c r="J384" s="11"/>
      <c r="K384" s="11"/>
      <c r="L384" s="13"/>
      <c r="M384" s="13"/>
    </row>
    <row r="385" spans="6:13" ht="13.2">
      <c r="F385" s="15"/>
      <c r="G385" s="15"/>
      <c r="H385" s="16"/>
      <c r="I385" s="16"/>
      <c r="J385" s="11"/>
      <c r="K385" s="11"/>
      <c r="L385" s="13"/>
      <c r="M385" s="13"/>
    </row>
    <row r="386" spans="6:13" ht="13.2">
      <c r="F386" s="15"/>
      <c r="G386" s="15"/>
      <c r="H386" s="16"/>
      <c r="I386" s="16"/>
      <c r="J386" s="11"/>
      <c r="K386" s="11"/>
      <c r="L386" s="13"/>
      <c r="M386" s="13"/>
    </row>
    <row r="387" spans="6:13" ht="13.2">
      <c r="F387" s="15"/>
      <c r="G387" s="15"/>
      <c r="H387" s="16"/>
      <c r="I387" s="16"/>
      <c r="J387" s="11"/>
      <c r="K387" s="11"/>
      <c r="L387" s="13"/>
      <c r="M387" s="13"/>
    </row>
    <row r="388" spans="6:13" ht="13.2">
      <c r="F388" s="15"/>
      <c r="G388" s="15"/>
      <c r="H388" s="16"/>
      <c r="I388" s="16"/>
      <c r="J388" s="11"/>
      <c r="K388" s="11"/>
      <c r="L388" s="13"/>
      <c r="M388" s="13"/>
    </row>
    <row r="389" spans="6:13" ht="13.2">
      <c r="F389" s="15"/>
      <c r="G389" s="15"/>
      <c r="H389" s="16"/>
      <c r="I389" s="16"/>
      <c r="J389" s="11"/>
      <c r="K389" s="11"/>
      <c r="L389" s="13"/>
      <c r="M389" s="13"/>
    </row>
    <row r="390" spans="6:13" ht="13.2">
      <c r="F390" s="15"/>
      <c r="G390" s="15"/>
      <c r="H390" s="16"/>
      <c r="I390" s="16"/>
      <c r="J390" s="11"/>
      <c r="K390" s="11"/>
      <c r="L390" s="13"/>
      <c r="M390" s="13"/>
    </row>
    <row r="391" spans="6:13" ht="13.2">
      <c r="F391" s="15"/>
      <c r="G391" s="15"/>
      <c r="H391" s="16"/>
      <c r="I391" s="16"/>
      <c r="J391" s="11"/>
      <c r="K391" s="11"/>
      <c r="L391" s="13"/>
      <c r="M391" s="13"/>
    </row>
    <row r="392" spans="6:13" ht="13.2">
      <c r="F392" s="15"/>
      <c r="G392" s="15"/>
      <c r="H392" s="16"/>
      <c r="I392" s="16"/>
      <c r="J392" s="11"/>
      <c r="K392" s="11"/>
      <c r="L392" s="13"/>
      <c r="M392" s="13"/>
    </row>
    <row r="393" spans="6:13" ht="13.2">
      <c r="F393" s="15"/>
      <c r="G393" s="15"/>
      <c r="H393" s="16"/>
      <c r="I393" s="16"/>
      <c r="J393" s="11"/>
      <c r="K393" s="11"/>
      <c r="L393" s="13"/>
      <c r="M393" s="13"/>
    </row>
    <row r="394" spans="6:13" ht="13.2">
      <c r="F394" s="15"/>
      <c r="G394" s="15"/>
      <c r="H394" s="16"/>
      <c r="I394" s="16"/>
      <c r="J394" s="11"/>
      <c r="K394" s="11"/>
      <c r="L394" s="13"/>
      <c r="M394" s="13"/>
    </row>
    <row r="395" spans="6:13" ht="13.2">
      <c r="F395" s="15"/>
      <c r="G395" s="15"/>
      <c r="H395" s="16"/>
      <c r="I395" s="16"/>
      <c r="J395" s="11"/>
      <c r="K395" s="11"/>
      <c r="L395" s="13"/>
      <c r="M395" s="13"/>
    </row>
    <row r="396" spans="6:13" ht="13.2">
      <c r="F396" s="15"/>
      <c r="G396" s="15"/>
      <c r="H396" s="16"/>
      <c r="I396" s="16"/>
      <c r="J396" s="11"/>
      <c r="K396" s="11"/>
      <c r="L396" s="13"/>
      <c r="M396" s="13"/>
    </row>
    <row r="397" spans="6:13" ht="13.2">
      <c r="F397" s="15"/>
      <c r="G397" s="15"/>
      <c r="H397" s="16"/>
      <c r="I397" s="16"/>
      <c r="J397" s="11"/>
      <c r="K397" s="11"/>
      <c r="L397" s="13"/>
      <c r="M397" s="13"/>
    </row>
    <row r="398" spans="6:13" ht="13.2">
      <c r="F398" s="15"/>
      <c r="G398" s="15"/>
      <c r="H398" s="16"/>
      <c r="I398" s="16"/>
      <c r="J398" s="11"/>
      <c r="K398" s="11"/>
      <c r="L398" s="13"/>
      <c r="M398" s="13"/>
    </row>
    <row r="399" spans="6:13" ht="13.2">
      <c r="F399" s="15"/>
      <c r="G399" s="15"/>
      <c r="H399" s="16"/>
      <c r="I399" s="16"/>
      <c r="J399" s="11"/>
      <c r="K399" s="11"/>
      <c r="L399" s="13"/>
      <c r="M399" s="13"/>
    </row>
    <row r="400" spans="6:13" ht="13.2">
      <c r="F400" s="15"/>
      <c r="G400" s="15"/>
      <c r="H400" s="16"/>
      <c r="I400" s="16"/>
      <c r="J400" s="11"/>
      <c r="K400" s="11"/>
      <c r="L400" s="13"/>
      <c r="M400" s="13"/>
    </row>
    <row r="401" spans="6:13" ht="13.2">
      <c r="F401" s="15"/>
      <c r="G401" s="15"/>
      <c r="H401" s="16"/>
      <c r="I401" s="16"/>
      <c r="J401" s="11"/>
      <c r="K401" s="11"/>
      <c r="L401" s="13"/>
      <c r="M401" s="13"/>
    </row>
    <row r="402" spans="6:13" ht="13.2">
      <c r="F402" s="15"/>
      <c r="G402" s="15"/>
      <c r="H402" s="16"/>
      <c r="I402" s="16"/>
      <c r="J402" s="11"/>
      <c r="K402" s="11"/>
      <c r="L402" s="13"/>
      <c r="M402" s="13"/>
    </row>
    <row r="403" spans="6:13" ht="13.2">
      <c r="F403" s="15"/>
      <c r="G403" s="15"/>
      <c r="H403" s="16"/>
      <c r="I403" s="16"/>
      <c r="J403" s="11"/>
      <c r="K403" s="11"/>
      <c r="L403" s="13"/>
      <c r="M403" s="13"/>
    </row>
    <row r="404" spans="6:13" ht="13.2">
      <c r="F404" s="15"/>
      <c r="G404" s="15"/>
      <c r="H404" s="16"/>
      <c r="I404" s="16"/>
      <c r="J404" s="11"/>
      <c r="K404" s="11"/>
      <c r="L404" s="13"/>
      <c r="M404" s="13"/>
    </row>
    <row r="405" spans="6:13" ht="13.2">
      <c r="F405" s="15"/>
      <c r="G405" s="15"/>
      <c r="H405" s="16"/>
      <c r="I405" s="16"/>
      <c r="J405" s="11"/>
      <c r="K405" s="11"/>
      <c r="L405" s="13"/>
      <c r="M405" s="13"/>
    </row>
    <row r="406" spans="6:13" ht="13.2">
      <c r="F406" s="15"/>
      <c r="G406" s="15"/>
      <c r="H406" s="16"/>
      <c r="I406" s="16"/>
      <c r="J406" s="11"/>
      <c r="K406" s="11"/>
      <c r="L406" s="13"/>
      <c r="M406" s="13"/>
    </row>
    <row r="407" spans="6:13" ht="13.2">
      <c r="F407" s="15"/>
      <c r="G407" s="15"/>
      <c r="H407" s="16"/>
      <c r="I407" s="16"/>
      <c r="J407" s="11"/>
      <c r="K407" s="11"/>
      <c r="L407" s="13"/>
      <c r="M407" s="13"/>
    </row>
    <row r="408" spans="6:13" ht="13.2">
      <c r="F408" s="15"/>
      <c r="G408" s="15"/>
      <c r="H408" s="16"/>
      <c r="I408" s="16"/>
      <c r="J408" s="11"/>
      <c r="K408" s="11"/>
      <c r="L408" s="13"/>
      <c r="M408" s="13"/>
    </row>
    <row r="409" spans="6:13" ht="13.2">
      <c r="F409" s="15"/>
      <c r="G409" s="15"/>
      <c r="H409" s="16"/>
      <c r="I409" s="16"/>
      <c r="J409" s="11"/>
      <c r="K409" s="11"/>
      <c r="L409" s="13"/>
      <c r="M409" s="13"/>
    </row>
    <row r="410" spans="6:13" ht="13.2">
      <c r="F410" s="15"/>
      <c r="G410" s="15"/>
      <c r="H410" s="16"/>
      <c r="I410" s="16"/>
      <c r="J410" s="11"/>
      <c r="K410" s="11"/>
      <c r="L410" s="13"/>
      <c r="M410" s="13"/>
    </row>
    <row r="411" spans="6:13" ht="13.2">
      <c r="F411" s="15"/>
      <c r="G411" s="15"/>
      <c r="H411" s="16"/>
      <c r="I411" s="16"/>
      <c r="J411" s="11"/>
      <c r="K411" s="11"/>
      <c r="L411" s="13"/>
      <c r="M411" s="13"/>
    </row>
    <row r="412" spans="6:13" ht="13.2">
      <c r="F412" s="15"/>
      <c r="G412" s="15"/>
      <c r="H412" s="16"/>
      <c r="I412" s="16"/>
      <c r="J412" s="11"/>
      <c r="K412" s="11"/>
      <c r="L412" s="13"/>
      <c r="M412" s="13"/>
    </row>
    <row r="413" spans="6:13" ht="13.2">
      <c r="F413" s="15"/>
      <c r="G413" s="15"/>
      <c r="H413" s="16"/>
      <c r="I413" s="16"/>
      <c r="J413" s="11"/>
      <c r="K413" s="11"/>
      <c r="L413" s="13"/>
      <c r="M413" s="13"/>
    </row>
    <row r="414" spans="6:13" ht="13.2">
      <c r="F414" s="15"/>
      <c r="G414" s="15"/>
      <c r="H414" s="16"/>
      <c r="I414" s="16"/>
      <c r="J414" s="11"/>
      <c r="K414" s="11"/>
      <c r="L414" s="13"/>
      <c r="M414" s="13"/>
    </row>
    <row r="415" spans="6:13" ht="13.2">
      <c r="F415" s="15"/>
      <c r="G415" s="15"/>
      <c r="H415" s="16"/>
      <c r="I415" s="16"/>
      <c r="J415" s="11"/>
      <c r="K415" s="11"/>
      <c r="L415" s="13"/>
      <c r="M415" s="13"/>
    </row>
    <row r="416" spans="6:13" ht="13.2">
      <c r="F416" s="15"/>
      <c r="G416" s="15"/>
      <c r="H416" s="16"/>
      <c r="I416" s="16"/>
      <c r="J416" s="11"/>
      <c r="K416" s="11"/>
      <c r="L416" s="13"/>
      <c r="M416" s="13"/>
    </row>
    <row r="417" spans="6:13" ht="13.2">
      <c r="F417" s="15"/>
      <c r="G417" s="15"/>
      <c r="H417" s="16"/>
      <c r="I417" s="16"/>
      <c r="J417" s="11"/>
      <c r="K417" s="11"/>
      <c r="L417" s="13"/>
      <c r="M417" s="13"/>
    </row>
    <row r="418" spans="6:13" ht="13.2">
      <c r="F418" s="15"/>
      <c r="G418" s="15"/>
      <c r="H418" s="16"/>
      <c r="I418" s="16"/>
      <c r="J418" s="11"/>
      <c r="K418" s="11"/>
      <c r="L418" s="13"/>
      <c r="M418" s="13"/>
    </row>
    <row r="419" spans="6:13" ht="13.2">
      <c r="F419" s="15"/>
      <c r="G419" s="15"/>
      <c r="H419" s="16"/>
      <c r="I419" s="16"/>
      <c r="J419" s="11"/>
      <c r="K419" s="11"/>
      <c r="L419" s="13"/>
      <c r="M419" s="13"/>
    </row>
    <row r="420" spans="6:13" ht="13.2">
      <c r="F420" s="15"/>
      <c r="G420" s="15"/>
      <c r="H420" s="16"/>
      <c r="I420" s="16"/>
      <c r="J420" s="11"/>
      <c r="K420" s="11"/>
      <c r="L420" s="13"/>
      <c r="M420" s="13"/>
    </row>
    <row r="421" spans="6:13" ht="13.2">
      <c r="F421" s="15"/>
      <c r="G421" s="15"/>
      <c r="H421" s="16"/>
      <c r="I421" s="16"/>
      <c r="J421" s="11"/>
      <c r="K421" s="11"/>
      <c r="L421" s="13"/>
      <c r="M421" s="13"/>
    </row>
    <row r="422" spans="6:13" ht="13.2">
      <c r="F422" s="15"/>
      <c r="G422" s="15"/>
      <c r="H422" s="16"/>
      <c r="I422" s="16"/>
      <c r="J422" s="11"/>
      <c r="K422" s="11"/>
      <c r="L422" s="13"/>
      <c r="M422" s="13"/>
    </row>
    <row r="423" spans="6:13" ht="13.2">
      <c r="F423" s="15"/>
      <c r="G423" s="15"/>
      <c r="H423" s="16"/>
      <c r="I423" s="16"/>
      <c r="J423" s="11"/>
      <c r="K423" s="11"/>
      <c r="L423" s="13"/>
      <c r="M423" s="13"/>
    </row>
    <row r="424" spans="6:13" ht="13.2">
      <c r="F424" s="15"/>
      <c r="G424" s="15"/>
      <c r="H424" s="16"/>
      <c r="I424" s="16"/>
      <c r="J424" s="11"/>
      <c r="K424" s="11"/>
      <c r="L424" s="13"/>
      <c r="M424" s="13"/>
    </row>
    <row r="425" spans="6:13" ht="13.2">
      <c r="F425" s="15"/>
      <c r="G425" s="15"/>
      <c r="H425" s="16"/>
      <c r="I425" s="16"/>
      <c r="J425" s="11"/>
      <c r="K425" s="11"/>
      <c r="L425" s="13"/>
      <c r="M425" s="13"/>
    </row>
    <row r="426" spans="6:13" ht="13.2">
      <c r="F426" s="15"/>
      <c r="G426" s="15"/>
      <c r="H426" s="16"/>
      <c r="I426" s="16"/>
      <c r="J426" s="11"/>
      <c r="K426" s="11"/>
      <c r="L426" s="13"/>
      <c r="M426" s="13"/>
    </row>
    <row r="427" spans="6:13" ht="13.2">
      <c r="F427" s="15"/>
      <c r="G427" s="15"/>
      <c r="H427" s="16"/>
      <c r="I427" s="16"/>
      <c r="J427" s="11"/>
      <c r="K427" s="11"/>
      <c r="L427" s="13"/>
      <c r="M427" s="13"/>
    </row>
    <row r="428" spans="6:13" ht="13.2">
      <c r="F428" s="15"/>
      <c r="G428" s="15"/>
      <c r="H428" s="16"/>
      <c r="I428" s="16"/>
      <c r="J428" s="11"/>
      <c r="K428" s="11"/>
      <c r="L428" s="13"/>
      <c r="M428" s="13"/>
    </row>
    <row r="429" spans="6:13" ht="13.2">
      <c r="F429" s="15"/>
      <c r="G429" s="15"/>
      <c r="H429" s="16"/>
      <c r="I429" s="16"/>
      <c r="J429" s="11"/>
      <c r="K429" s="11"/>
      <c r="L429" s="13"/>
      <c r="M429" s="13"/>
    </row>
    <row r="430" spans="6:13" ht="13.2">
      <c r="F430" s="15"/>
      <c r="G430" s="15"/>
      <c r="H430" s="16"/>
      <c r="I430" s="16"/>
      <c r="J430" s="11"/>
      <c r="K430" s="11"/>
      <c r="L430" s="13"/>
      <c r="M430" s="13"/>
    </row>
    <row r="431" spans="6:13" ht="13.2">
      <c r="F431" s="15"/>
      <c r="G431" s="15"/>
      <c r="H431" s="16"/>
      <c r="I431" s="16"/>
      <c r="J431" s="11"/>
      <c r="K431" s="11"/>
      <c r="L431" s="13"/>
      <c r="M431" s="13"/>
    </row>
    <row r="432" spans="6:13" ht="13.2">
      <c r="F432" s="15"/>
      <c r="G432" s="15"/>
      <c r="H432" s="16"/>
      <c r="I432" s="16"/>
      <c r="J432" s="11"/>
      <c r="K432" s="11"/>
      <c r="L432" s="13"/>
      <c r="M432" s="13"/>
    </row>
    <row r="433" spans="6:13" ht="13.2">
      <c r="F433" s="15"/>
      <c r="G433" s="15"/>
      <c r="H433" s="16"/>
      <c r="I433" s="16"/>
      <c r="J433" s="11"/>
      <c r="K433" s="11"/>
      <c r="L433" s="13"/>
      <c r="M433" s="13"/>
    </row>
    <row r="434" spans="6:13" ht="13.2">
      <c r="F434" s="15"/>
      <c r="G434" s="15"/>
      <c r="H434" s="16"/>
      <c r="I434" s="16"/>
      <c r="J434" s="11"/>
      <c r="K434" s="11"/>
      <c r="L434" s="13"/>
      <c r="M434" s="13"/>
    </row>
    <row r="435" spans="6:13" ht="13.2">
      <c r="F435" s="15"/>
      <c r="G435" s="15"/>
      <c r="H435" s="16"/>
      <c r="I435" s="16"/>
      <c r="J435" s="11"/>
      <c r="K435" s="11"/>
      <c r="L435" s="13"/>
      <c r="M435" s="13"/>
    </row>
    <row r="436" spans="6:13" ht="13.2">
      <c r="F436" s="15"/>
      <c r="G436" s="15"/>
      <c r="H436" s="16"/>
      <c r="I436" s="16"/>
      <c r="J436" s="11"/>
      <c r="K436" s="11"/>
      <c r="L436" s="13"/>
      <c r="M436" s="13"/>
    </row>
    <row r="437" spans="6:13" ht="13.2">
      <c r="F437" s="15"/>
      <c r="G437" s="15"/>
      <c r="H437" s="16"/>
      <c r="I437" s="16"/>
      <c r="J437" s="11"/>
      <c r="K437" s="11"/>
      <c r="L437" s="13"/>
      <c r="M437" s="13"/>
    </row>
    <row r="438" spans="6:13" ht="13.2">
      <c r="F438" s="15"/>
      <c r="G438" s="15"/>
      <c r="H438" s="16"/>
      <c r="I438" s="16"/>
      <c r="J438" s="11"/>
      <c r="K438" s="11"/>
      <c r="L438" s="13"/>
      <c r="M438" s="13"/>
    </row>
    <row r="439" spans="6:13" ht="13.2">
      <c r="F439" s="15"/>
      <c r="G439" s="15"/>
      <c r="H439" s="16"/>
      <c r="I439" s="16"/>
      <c r="J439" s="11"/>
      <c r="K439" s="11"/>
      <c r="L439" s="13"/>
      <c r="M439" s="13"/>
    </row>
    <row r="440" spans="6:13" ht="13.2">
      <c r="F440" s="15"/>
      <c r="G440" s="15"/>
      <c r="H440" s="16"/>
      <c r="I440" s="16"/>
      <c r="J440" s="11"/>
      <c r="K440" s="11"/>
      <c r="L440" s="13"/>
      <c r="M440" s="13"/>
    </row>
    <row r="441" spans="6:13" ht="13.2">
      <c r="F441" s="15"/>
      <c r="G441" s="15"/>
      <c r="H441" s="16"/>
      <c r="I441" s="16"/>
      <c r="J441" s="11"/>
      <c r="K441" s="11"/>
      <c r="L441" s="13"/>
      <c r="M441" s="13"/>
    </row>
    <row r="442" spans="6:13" ht="13.2">
      <c r="F442" s="15"/>
      <c r="G442" s="15"/>
      <c r="H442" s="16"/>
      <c r="I442" s="16"/>
      <c r="J442" s="11"/>
      <c r="K442" s="11"/>
      <c r="L442" s="13"/>
      <c r="M442" s="13"/>
    </row>
    <row r="443" spans="6:13" ht="13.2">
      <c r="F443" s="15"/>
      <c r="G443" s="15"/>
      <c r="H443" s="16"/>
      <c r="I443" s="16"/>
      <c r="J443" s="11"/>
      <c r="K443" s="11"/>
      <c r="L443" s="13"/>
      <c r="M443" s="13"/>
    </row>
    <row r="444" spans="6:13" ht="13.2">
      <c r="F444" s="15"/>
      <c r="G444" s="15"/>
      <c r="H444" s="16"/>
      <c r="I444" s="16"/>
      <c r="J444" s="11"/>
      <c r="K444" s="11"/>
      <c r="L444" s="13"/>
      <c r="M444" s="13"/>
    </row>
    <row r="445" spans="6:13" ht="13.2">
      <c r="F445" s="15"/>
      <c r="G445" s="15"/>
      <c r="H445" s="16"/>
      <c r="I445" s="16"/>
      <c r="J445" s="11"/>
      <c r="K445" s="11"/>
      <c r="L445" s="13"/>
      <c r="M445" s="13"/>
    </row>
    <row r="446" spans="6:13" ht="13.2">
      <c r="F446" s="15"/>
      <c r="G446" s="15"/>
      <c r="H446" s="16"/>
      <c r="I446" s="16"/>
      <c r="J446" s="11"/>
      <c r="K446" s="11"/>
      <c r="L446" s="13"/>
      <c r="M446" s="13"/>
    </row>
    <row r="447" spans="6:13" ht="13.2">
      <c r="F447" s="15"/>
      <c r="G447" s="15"/>
      <c r="H447" s="16"/>
      <c r="I447" s="16"/>
      <c r="J447" s="11"/>
      <c r="K447" s="11"/>
      <c r="L447" s="13"/>
      <c r="M447" s="13"/>
    </row>
    <row r="448" spans="6:13" ht="13.2">
      <c r="F448" s="15"/>
      <c r="G448" s="15"/>
      <c r="H448" s="16"/>
      <c r="I448" s="16"/>
      <c r="J448" s="11"/>
      <c r="K448" s="11"/>
      <c r="L448" s="13"/>
      <c r="M448" s="13"/>
    </row>
    <row r="449" spans="6:13" ht="13.2">
      <c r="F449" s="15"/>
      <c r="G449" s="15"/>
      <c r="H449" s="16"/>
      <c r="I449" s="16"/>
      <c r="J449" s="11"/>
      <c r="K449" s="11"/>
      <c r="L449" s="13"/>
      <c r="M449" s="13"/>
    </row>
    <row r="450" spans="6:13" ht="13.2">
      <c r="F450" s="15"/>
      <c r="G450" s="15"/>
      <c r="H450" s="16"/>
      <c r="I450" s="16"/>
      <c r="J450" s="11"/>
      <c r="K450" s="11"/>
      <c r="L450" s="13"/>
      <c r="M450" s="13"/>
    </row>
    <row r="451" spans="6:13" ht="13.2">
      <c r="F451" s="15"/>
      <c r="G451" s="15"/>
      <c r="H451" s="16"/>
      <c r="I451" s="16"/>
      <c r="J451" s="11"/>
      <c r="K451" s="11"/>
      <c r="L451" s="13"/>
      <c r="M451" s="13"/>
    </row>
    <row r="452" spans="6:13" ht="13.2">
      <c r="F452" s="15"/>
      <c r="G452" s="15"/>
      <c r="H452" s="16"/>
      <c r="I452" s="16"/>
      <c r="J452" s="11"/>
      <c r="K452" s="11"/>
      <c r="L452" s="13"/>
      <c r="M452" s="13"/>
    </row>
    <row r="453" spans="6:13" ht="13.2">
      <c r="F453" s="15"/>
      <c r="G453" s="15"/>
      <c r="H453" s="16"/>
      <c r="I453" s="16"/>
      <c r="J453" s="11"/>
      <c r="K453" s="11"/>
      <c r="L453" s="13"/>
      <c r="M453" s="13"/>
    </row>
    <row r="454" spans="6:13" ht="13.2">
      <c r="F454" s="15"/>
      <c r="G454" s="15"/>
      <c r="H454" s="16"/>
      <c r="I454" s="16"/>
      <c r="J454" s="11"/>
      <c r="K454" s="11"/>
      <c r="L454" s="13"/>
      <c r="M454" s="13"/>
    </row>
    <row r="455" spans="6:13" ht="13.2">
      <c r="F455" s="15"/>
      <c r="G455" s="15"/>
      <c r="H455" s="16"/>
      <c r="I455" s="16"/>
      <c r="J455" s="11"/>
      <c r="K455" s="11"/>
      <c r="L455" s="13"/>
      <c r="M455" s="13"/>
    </row>
    <row r="456" spans="6:13" ht="13.2">
      <c r="F456" s="15"/>
      <c r="G456" s="15"/>
      <c r="H456" s="16"/>
      <c r="I456" s="16"/>
      <c r="J456" s="11"/>
      <c r="K456" s="11"/>
      <c r="L456" s="13"/>
      <c r="M456" s="13"/>
    </row>
    <row r="457" spans="6:13" ht="13.2">
      <c r="F457" s="15"/>
      <c r="G457" s="15"/>
      <c r="H457" s="16"/>
      <c r="I457" s="16"/>
      <c r="J457" s="11"/>
      <c r="K457" s="11"/>
      <c r="L457" s="13"/>
      <c r="M457" s="13"/>
    </row>
    <row r="458" spans="6:13" ht="13.2">
      <c r="F458" s="15"/>
      <c r="G458" s="15"/>
      <c r="H458" s="16"/>
      <c r="I458" s="16"/>
      <c r="J458" s="11"/>
      <c r="K458" s="11"/>
      <c r="L458" s="13"/>
      <c r="M458" s="13"/>
    </row>
    <row r="459" spans="6:13" ht="13.2">
      <c r="F459" s="15"/>
      <c r="G459" s="15"/>
      <c r="H459" s="16"/>
      <c r="I459" s="16"/>
      <c r="J459" s="11"/>
      <c r="K459" s="11"/>
      <c r="L459" s="13"/>
      <c r="M459" s="13"/>
    </row>
    <row r="460" spans="6:13" ht="13.2">
      <c r="F460" s="15"/>
      <c r="G460" s="15"/>
      <c r="H460" s="16"/>
      <c r="I460" s="16"/>
      <c r="J460" s="11"/>
      <c r="K460" s="11"/>
      <c r="L460" s="13"/>
      <c r="M460" s="13"/>
    </row>
    <row r="461" spans="6:13" ht="13.2">
      <c r="F461" s="15"/>
      <c r="G461" s="15"/>
      <c r="H461" s="16"/>
      <c r="I461" s="16"/>
      <c r="J461" s="11"/>
      <c r="K461" s="11"/>
      <c r="L461" s="13"/>
      <c r="M461" s="13"/>
    </row>
    <row r="462" spans="6:13" ht="13.2">
      <c r="F462" s="15"/>
      <c r="G462" s="15"/>
      <c r="H462" s="16"/>
      <c r="I462" s="16"/>
      <c r="J462" s="11"/>
      <c r="K462" s="11"/>
      <c r="L462" s="13"/>
      <c r="M462" s="13"/>
    </row>
    <row r="463" spans="6:13" ht="13.2">
      <c r="F463" s="15"/>
      <c r="G463" s="15"/>
      <c r="H463" s="16"/>
      <c r="I463" s="16"/>
      <c r="J463" s="11"/>
      <c r="K463" s="11"/>
      <c r="L463" s="13"/>
      <c r="M463" s="13"/>
    </row>
    <row r="464" spans="6:13" ht="13.2">
      <c r="F464" s="15"/>
      <c r="G464" s="15"/>
      <c r="H464" s="16"/>
      <c r="I464" s="16"/>
      <c r="J464" s="11"/>
      <c r="K464" s="11"/>
      <c r="L464" s="13"/>
      <c r="M464" s="13"/>
    </row>
    <row r="465" spans="6:13" ht="13.2">
      <c r="F465" s="15"/>
      <c r="G465" s="15"/>
      <c r="H465" s="16"/>
      <c r="I465" s="16"/>
      <c r="J465" s="11"/>
      <c r="K465" s="11"/>
      <c r="L465" s="13"/>
      <c r="M465" s="13"/>
    </row>
    <row r="466" spans="6:13" ht="13.2">
      <c r="F466" s="15"/>
      <c r="G466" s="15"/>
      <c r="H466" s="16"/>
      <c r="I466" s="16"/>
      <c r="J466" s="11"/>
      <c r="K466" s="11"/>
      <c r="L466" s="13"/>
      <c r="M466" s="13"/>
    </row>
    <row r="467" spans="6:13" ht="13.2">
      <c r="F467" s="15"/>
      <c r="G467" s="15"/>
      <c r="H467" s="16"/>
      <c r="I467" s="16"/>
      <c r="J467" s="11"/>
      <c r="K467" s="11"/>
      <c r="L467" s="13"/>
      <c r="M467" s="13"/>
    </row>
    <row r="468" spans="6:13" ht="13.2">
      <c r="F468" s="15"/>
      <c r="G468" s="15"/>
      <c r="H468" s="16"/>
      <c r="I468" s="16"/>
      <c r="J468" s="11"/>
      <c r="K468" s="11"/>
      <c r="L468" s="13"/>
      <c r="M468" s="13"/>
    </row>
    <row r="469" spans="6:13" ht="13.2">
      <c r="F469" s="15"/>
      <c r="G469" s="15"/>
      <c r="H469" s="16"/>
      <c r="I469" s="16"/>
      <c r="J469" s="11"/>
      <c r="K469" s="11"/>
      <c r="L469" s="13"/>
      <c r="M469" s="13"/>
    </row>
    <row r="470" spans="6:13" ht="13.2">
      <c r="F470" s="15"/>
      <c r="G470" s="15"/>
      <c r="H470" s="16"/>
      <c r="I470" s="16"/>
      <c r="J470" s="11"/>
      <c r="K470" s="11"/>
      <c r="L470" s="13"/>
      <c r="M470" s="13"/>
    </row>
    <row r="471" spans="6:13" ht="13.2">
      <c r="F471" s="15"/>
      <c r="G471" s="15"/>
      <c r="H471" s="16"/>
      <c r="I471" s="16"/>
      <c r="J471" s="11"/>
      <c r="K471" s="11"/>
      <c r="L471" s="13"/>
      <c r="M471" s="13"/>
    </row>
    <row r="472" spans="6:13" ht="13.2">
      <c r="F472" s="15"/>
      <c r="G472" s="15"/>
      <c r="H472" s="16"/>
      <c r="I472" s="16"/>
      <c r="J472" s="11"/>
      <c r="K472" s="11"/>
      <c r="L472" s="13"/>
      <c r="M472" s="13"/>
    </row>
    <row r="473" spans="6:13" ht="13.2">
      <c r="F473" s="15"/>
      <c r="G473" s="15"/>
      <c r="H473" s="16"/>
      <c r="I473" s="16"/>
      <c r="J473" s="11"/>
      <c r="K473" s="11"/>
      <c r="L473" s="13"/>
      <c r="M473" s="13"/>
    </row>
    <row r="474" spans="6:13" ht="13.2">
      <c r="F474" s="15"/>
      <c r="G474" s="15"/>
      <c r="H474" s="16"/>
      <c r="I474" s="16"/>
      <c r="J474" s="11"/>
      <c r="K474" s="11"/>
      <c r="L474" s="13"/>
      <c r="M474" s="13"/>
    </row>
    <row r="475" spans="6:13" ht="13.2">
      <c r="F475" s="15"/>
      <c r="G475" s="15"/>
      <c r="H475" s="16"/>
      <c r="I475" s="16"/>
      <c r="J475" s="11"/>
      <c r="K475" s="11"/>
      <c r="L475" s="13"/>
      <c r="M475" s="13"/>
    </row>
    <row r="476" spans="6:13" ht="13.2">
      <c r="F476" s="15"/>
      <c r="G476" s="15"/>
      <c r="H476" s="16"/>
      <c r="I476" s="16"/>
      <c r="J476" s="11"/>
      <c r="K476" s="11"/>
      <c r="L476" s="13"/>
      <c r="M476" s="13"/>
    </row>
    <row r="477" spans="6:13" ht="13.2">
      <c r="F477" s="15"/>
      <c r="G477" s="15"/>
      <c r="H477" s="16"/>
      <c r="I477" s="16"/>
      <c r="J477" s="11"/>
      <c r="K477" s="11"/>
      <c r="L477" s="13"/>
      <c r="M477" s="13"/>
    </row>
    <row r="478" spans="6:13" ht="13.2">
      <c r="F478" s="15"/>
      <c r="G478" s="15"/>
      <c r="H478" s="16"/>
      <c r="I478" s="16"/>
      <c r="J478" s="11"/>
      <c r="K478" s="11"/>
      <c r="L478" s="13"/>
      <c r="M478" s="13"/>
    </row>
    <row r="479" spans="6:13" ht="13.2">
      <c r="F479" s="15"/>
      <c r="G479" s="15"/>
      <c r="H479" s="16"/>
      <c r="I479" s="16"/>
      <c r="J479" s="11"/>
      <c r="K479" s="11"/>
      <c r="L479" s="13"/>
      <c r="M479" s="13"/>
    </row>
    <row r="480" spans="6:13" ht="13.2">
      <c r="F480" s="15"/>
      <c r="G480" s="15"/>
      <c r="H480" s="16"/>
      <c r="I480" s="16"/>
      <c r="J480" s="11"/>
      <c r="K480" s="11"/>
      <c r="L480" s="13"/>
      <c r="M480" s="13"/>
    </row>
    <row r="481" spans="6:13" ht="13.2">
      <c r="F481" s="15"/>
      <c r="G481" s="15"/>
      <c r="H481" s="16"/>
      <c r="I481" s="16"/>
      <c r="J481" s="11"/>
      <c r="K481" s="11"/>
      <c r="L481" s="13"/>
      <c r="M481" s="13"/>
    </row>
    <row r="482" spans="6:13" ht="13.2">
      <c r="F482" s="15"/>
      <c r="G482" s="15"/>
      <c r="H482" s="16"/>
      <c r="I482" s="16"/>
      <c r="J482" s="11"/>
      <c r="K482" s="11"/>
      <c r="L482" s="13"/>
      <c r="M482" s="13"/>
    </row>
    <row r="483" spans="6:13" ht="13.2">
      <c r="F483" s="15"/>
      <c r="G483" s="15"/>
      <c r="H483" s="16"/>
      <c r="I483" s="16"/>
      <c r="J483" s="11"/>
      <c r="K483" s="11"/>
      <c r="L483" s="13"/>
      <c r="M483" s="13"/>
    </row>
    <row r="484" spans="6:13" ht="13.2">
      <c r="F484" s="15"/>
      <c r="G484" s="15"/>
      <c r="H484" s="16"/>
      <c r="I484" s="16"/>
      <c r="J484" s="11"/>
      <c r="K484" s="11"/>
      <c r="L484" s="13"/>
      <c r="M484" s="13"/>
    </row>
    <row r="485" spans="6:13" ht="13.2">
      <c r="F485" s="15"/>
      <c r="G485" s="15"/>
      <c r="H485" s="16"/>
      <c r="I485" s="16"/>
      <c r="J485" s="11"/>
      <c r="K485" s="11"/>
      <c r="L485" s="13"/>
      <c r="M485" s="13"/>
    </row>
    <row r="486" spans="6:13" ht="13.2">
      <c r="F486" s="15"/>
      <c r="G486" s="15"/>
      <c r="H486" s="16"/>
      <c r="I486" s="16"/>
      <c r="J486" s="11"/>
      <c r="K486" s="11"/>
      <c r="L486" s="13"/>
      <c r="M486" s="13"/>
    </row>
    <row r="487" spans="6:13" ht="13.2">
      <c r="F487" s="15"/>
      <c r="G487" s="15"/>
      <c r="H487" s="16"/>
      <c r="I487" s="16"/>
      <c r="J487" s="11"/>
      <c r="K487" s="11"/>
      <c r="L487" s="13"/>
      <c r="M487" s="13"/>
    </row>
    <row r="488" spans="6:13" ht="13.2">
      <c r="F488" s="15"/>
      <c r="G488" s="15"/>
      <c r="H488" s="16"/>
      <c r="I488" s="16"/>
      <c r="J488" s="11"/>
      <c r="K488" s="11"/>
      <c r="L488" s="13"/>
      <c r="M488" s="13"/>
    </row>
    <row r="489" spans="6:13" ht="13.2">
      <c r="F489" s="15"/>
      <c r="G489" s="15"/>
      <c r="H489" s="16"/>
      <c r="I489" s="16"/>
      <c r="J489" s="11"/>
      <c r="K489" s="11"/>
      <c r="L489" s="13"/>
      <c r="M489" s="13"/>
    </row>
    <row r="490" spans="6:13" ht="13.2">
      <c r="F490" s="15"/>
      <c r="G490" s="15"/>
      <c r="H490" s="16"/>
      <c r="I490" s="16"/>
      <c r="J490" s="11"/>
      <c r="K490" s="11"/>
      <c r="L490" s="13"/>
      <c r="M490" s="13"/>
    </row>
    <row r="491" spans="6:13" ht="13.2">
      <c r="F491" s="15"/>
      <c r="G491" s="15"/>
      <c r="H491" s="16"/>
      <c r="I491" s="16"/>
      <c r="J491" s="11"/>
      <c r="K491" s="11"/>
      <c r="L491" s="13"/>
      <c r="M491" s="13"/>
    </row>
    <row r="492" spans="6:13" ht="13.2">
      <c r="F492" s="15"/>
      <c r="G492" s="15"/>
      <c r="H492" s="16"/>
      <c r="I492" s="16"/>
      <c r="J492" s="11"/>
      <c r="K492" s="11"/>
      <c r="L492" s="13"/>
      <c r="M492" s="13"/>
    </row>
    <row r="493" spans="6:13" ht="13.2">
      <c r="F493" s="15"/>
      <c r="G493" s="15"/>
      <c r="H493" s="16"/>
      <c r="I493" s="16"/>
      <c r="J493" s="11"/>
      <c r="K493" s="11"/>
      <c r="L493" s="13"/>
      <c r="M493" s="13"/>
    </row>
    <row r="494" spans="6:13" ht="13.2">
      <c r="F494" s="15"/>
      <c r="G494" s="15"/>
      <c r="H494" s="16"/>
      <c r="I494" s="16"/>
      <c r="J494" s="11"/>
      <c r="K494" s="11"/>
      <c r="L494" s="13"/>
      <c r="M494" s="13"/>
    </row>
    <row r="495" spans="6:13" ht="13.2">
      <c r="F495" s="15"/>
      <c r="G495" s="15"/>
      <c r="H495" s="16"/>
      <c r="I495" s="16"/>
      <c r="J495" s="11"/>
      <c r="K495" s="11"/>
      <c r="L495" s="13"/>
      <c r="M495" s="13"/>
    </row>
    <row r="496" spans="6:13" ht="13.2">
      <c r="F496" s="15"/>
      <c r="G496" s="15"/>
      <c r="H496" s="16"/>
      <c r="I496" s="16"/>
      <c r="J496" s="11"/>
      <c r="K496" s="11"/>
      <c r="L496" s="13"/>
      <c r="M496" s="13"/>
    </row>
    <row r="497" spans="6:13" ht="13.2">
      <c r="F497" s="15"/>
      <c r="G497" s="15"/>
      <c r="H497" s="16"/>
      <c r="I497" s="16"/>
      <c r="J497" s="11"/>
      <c r="K497" s="11"/>
      <c r="L497" s="13"/>
      <c r="M497" s="13"/>
    </row>
    <row r="498" spans="6:13" ht="13.2">
      <c r="F498" s="15"/>
      <c r="G498" s="15"/>
      <c r="H498" s="16"/>
      <c r="I498" s="16"/>
      <c r="J498" s="11"/>
      <c r="K498" s="11"/>
      <c r="L498" s="13"/>
      <c r="M498" s="13"/>
    </row>
    <row r="499" spans="6:13" ht="13.2">
      <c r="F499" s="15"/>
      <c r="G499" s="15"/>
      <c r="H499" s="16"/>
      <c r="I499" s="16"/>
      <c r="J499" s="11"/>
      <c r="K499" s="11"/>
      <c r="L499" s="13"/>
      <c r="M499" s="13"/>
    </row>
    <row r="500" spans="6:13" ht="13.2">
      <c r="F500" s="15"/>
      <c r="G500" s="15"/>
      <c r="H500" s="16"/>
      <c r="I500" s="16"/>
      <c r="J500" s="11"/>
      <c r="K500" s="11"/>
      <c r="L500" s="13"/>
      <c r="M500" s="13"/>
    </row>
    <row r="501" spans="6:13" ht="13.2">
      <c r="F501" s="15"/>
      <c r="G501" s="15"/>
      <c r="H501" s="16"/>
      <c r="I501" s="16"/>
      <c r="J501" s="11"/>
      <c r="K501" s="11"/>
      <c r="L501" s="13"/>
      <c r="M501" s="13"/>
    </row>
    <row r="502" spans="6:13" ht="13.2">
      <c r="F502" s="15"/>
      <c r="G502" s="15"/>
      <c r="H502" s="16"/>
      <c r="I502" s="16"/>
      <c r="J502" s="11"/>
      <c r="K502" s="11"/>
      <c r="L502" s="13"/>
      <c r="M502" s="13"/>
    </row>
    <row r="503" spans="6:13" ht="13.2">
      <c r="F503" s="15"/>
      <c r="G503" s="15"/>
      <c r="H503" s="16"/>
      <c r="I503" s="16"/>
      <c r="J503" s="11"/>
      <c r="K503" s="11"/>
      <c r="L503" s="13"/>
      <c r="M503" s="13"/>
    </row>
    <row r="504" spans="6:13" ht="13.2">
      <c r="F504" s="15"/>
      <c r="G504" s="15"/>
      <c r="H504" s="16"/>
      <c r="I504" s="16"/>
      <c r="J504" s="11"/>
      <c r="K504" s="11"/>
      <c r="L504" s="13"/>
      <c r="M504" s="13"/>
    </row>
    <row r="505" spans="6:13" ht="13.2">
      <c r="F505" s="15"/>
      <c r="G505" s="15"/>
      <c r="H505" s="16"/>
      <c r="I505" s="16"/>
      <c r="J505" s="11"/>
      <c r="K505" s="11"/>
      <c r="L505" s="13"/>
      <c r="M505" s="13"/>
    </row>
    <row r="506" spans="6:13" ht="13.2">
      <c r="F506" s="15"/>
      <c r="G506" s="15"/>
      <c r="H506" s="16"/>
      <c r="I506" s="16"/>
      <c r="J506" s="11"/>
      <c r="K506" s="11"/>
      <c r="L506" s="13"/>
      <c r="M506" s="13"/>
    </row>
    <row r="507" spans="6:13" ht="13.2">
      <c r="F507" s="15"/>
      <c r="G507" s="15"/>
      <c r="H507" s="16"/>
      <c r="I507" s="16"/>
      <c r="J507" s="11"/>
      <c r="K507" s="11"/>
      <c r="L507" s="13"/>
      <c r="M507" s="13"/>
    </row>
    <row r="508" spans="6:13" ht="13.2">
      <c r="F508" s="15"/>
      <c r="G508" s="15"/>
      <c r="H508" s="16"/>
      <c r="I508" s="16"/>
      <c r="J508" s="11"/>
      <c r="K508" s="11"/>
      <c r="L508" s="13"/>
      <c r="M508" s="13"/>
    </row>
    <row r="509" spans="6:13" ht="13.2">
      <c r="F509" s="15"/>
      <c r="G509" s="15"/>
      <c r="H509" s="16"/>
      <c r="I509" s="16"/>
      <c r="J509" s="11"/>
      <c r="K509" s="11"/>
      <c r="L509" s="13"/>
      <c r="M509" s="13"/>
    </row>
    <row r="510" spans="6:13" ht="13.2">
      <c r="F510" s="15"/>
      <c r="G510" s="15"/>
      <c r="H510" s="16"/>
      <c r="I510" s="16"/>
      <c r="J510" s="11"/>
      <c r="K510" s="11"/>
      <c r="L510" s="13"/>
      <c r="M510" s="13"/>
    </row>
    <row r="511" spans="6:13" ht="13.2">
      <c r="F511" s="15"/>
      <c r="G511" s="15"/>
      <c r="H511" s="16"/>
      <c r="I511" s="16"/>
      <c r="J511" s="11"/>
      <c r="K511" s="11"/>
      <c r="L511" s="13"/>
      <c r="M511" s="13"/>
    </row>
    <row r="512" spans="6:13" ht="13.2">
      <c r="F512" s="15"/>
      <c r="G512" s="15"/>
      <c r="H512" s="16"/>
      <c r="I512" s="16"/>
      <c r="J512" s="11"/>
      <c r="K512" s="11"/>
      <c r="L512" s="13"/>
      <c r="M512" s="13"/>
    </row>
    <row r="513" spans="6:13" ht="13.2">
      <c r="F513" s="15"/>
      <c r="G513" s="15"/>
      <c r="H513" s="16"/>
      <c r="I513" s="16"/>
      <c r="J513" s="11"/>
      <c r="K513" s="11"/>
      <c r="L513" s="13"/>
      <c r="M513" s="13"/>
    </row>
    <row r="514" spans="6:13" ht="13.2">
      <c r="F514" s="15"/>
      <c r="G514" s="15"/>
      <c r="H514" s="16"/>
      <c r="I514" s="16"/>
      <c r="J514" s="11"/>
      <c r="K514" s="11"/>
      <c r="L514" s="13"/>
      <c r="M514" s="13"/>
    </row>
    <row r="515" spans="6:13" ht="13.2">
      <c r="F515" s="15"/>
      <c r="G515" s="15"/>
      <c r="H515" s="16"/>
      <c r="I515" s="16"/>
      <c r="J515" s="11"/>
      <c r="K515" s="11"/>
      <c r="L515" s="13"/>
      <c r="M515" s="13"/>
    </row>
    <row r="516" spans="6:13" ht="13.2">
      <c r="F516" s="15"/>
      <c r="G516" s="15"/>
      <c r="H516" s="16"/>
      <c r="I516" s="16"/>
      <c r="J516" s="11"/>
      <c r="K516" s="11"/>
      <c r="L516" s="13"/>
      <c r="M516" s="13"/>
    </row>
    <row r="517" spans="6:13" ht="13.2">
      <c r="F517" s="15"/>
      <c r="G517" s="15"/>
      <c r="H517" s="16"/>
      <c r="I517" s="16"/>
      <c r="J517" s="11"/>
      <c r="K517" s="11"/>
      <c r="L517" s="13"/>
      <c r="M517" s="13"/>
    </row>
    <row r="518" spans="6:13" ht="13.2">
      <c r="F518" s="15"/>
      <c r="G518" s="15"/>
      <c r="H518" s="16"/>
      <c r="I518" s="16"/>
      <c r="J518" s="11"/>
      <c r="K518" s="11"/>
      <c r="L518" s="13"/>
      <c r="M518" s="13"/>
    </row>
    <row r="519" spans="6:13" ht="13.2">
      <c r="F519" s="15"/>
      <c r="G519" s="15"/>
      <c r="H519" s="16"/>
      <c r="I519" s="16"/>
      <c r="J519" s="11"/>
      <c r="K519" s="11"/>
      <c r="L519" s="13"/>
      <c r="M519" s="13"/>
    </row>
    <row r="520" spans="6:13" ht="13.2">
      <c r="F520" s="15"/>
      <c r="G520" s="15"/>
      <c r="H520" s="16"/>
      <c r="I520" s="16"/>
      <c r="J520" s="11"/>
      <c r="K520" s="11"/>
      <c r="L520" s="13"/>
      <c r="M520" s="13"/>
    </row>
    <row r="521" spans="6:13" ht="13.2">
      <c r="F521" s="15"/>
      <c r="G521" s="15"/>
      <c r="H521" s="16"/>
      <c r="I521" s="16"/>
      <c r="J521" s="11"/>
      <c r="K521" s="11"/>
      <c r="L521" s="13"/>
      <c r="M521" s="13"/>
    </row>
    <row r="522" spans="6:13" ht="13.2">
      <c r="F522" s="15"/>
      <c r="G522" s="15"/>
      <c r="H522" s="16"/>
      <c r="I522" s="16"/>
      <c r="J522" s="11"/>
      <c r="K522" s="11"/>
      <c r="L522" s="13"/>
      <c r="M522" s="13"/>
    </row>
    <row r="523" spans="6:13" ht="13.2">
      <c r="F523" s="15"/>
      <c r="G523" s="15"/>
      <c r="H523" s="16"/>
      <c r="I523" s="16"/>
      <c r="J523" s="11"/>
      <c r="K523" s="11"/>
      <c r="L523" s="13"/>
      <c r="M523" s="13"/>
    </row>
    <row r="524" spans="6:13" ht="13.2">
      <c r="F524" s="15"/>
      <c r="G524" s="15"/>
      <c r="H524" s="16"/>
      <c r="I524" s="16"/>
      <c r="J524" s="11"/>
      <c r="K524" s="11"/>
      <c r="L524" s="13"/>
      <c r="M524" s="13"/>
    </row>
    <row r="525" spans="6:13" ht="13.2">
      <c r="F525" s="15"/>
      <c r="G525" s="15"/>
      <c r="H525" s="16"/>
      <c r="I525" s="16"/>
      <c r="J525" s="11"/>
      <c r="K525" s="11"/>
      <c r="L525" s="13"/>
      <c r="M525" s="13"/>
    </row>
    <row r="526" spans="6:13" ht="13.2">
      <c r="F526" s="15"/>
      <c r="G526" s="15"/>
      <c r="H526" s="16"/>
      <c r="I526" s="16"/>
      <c r="J526" s="11"/>
      <c r="K526" s="11"/>
      <c r="L526" s="13"/>
      <c r="M526" s="13"/>
    </row>
    <row r="527" spans="6:13" ht="13.2">
      <c r="F527" s="15"/>
      <c r="G527" s="15"/>
      <c r="H527" s="16"/>
      <c r="I527" s="16"/>
      <c r="J527" s="11"/>
      <c r="K527" s="11"/>
      <c r="L527" s="13"/>
      <c r="M527" s="13"/>
    </row>
    <row r="528" spans="6:13" ht="13.2">
      <c r="F528" s="15"/>
      <c r="G528" s="15"/>
      <c r="H528" s="16"/>
      <c r="I528" s="16"/>
      <c r="J528" s="11"/>
      <c r="K528" s="11"/>
      <c r="L528" s="13"/>
      <c r="M528" s="13"/>
    </row>
    <row r="529" spans="6:13" ht="13.2">
      <c r="F529" s="15"/>
      <c r="G529" s="15"/>
      <c r="H529" s="16"/>
      <c r="I529" s="16"/>
      <c r="J529" s="11"/>
      <c r="K529" s="11"/>
      <c r="L529" s="13"/>
      <c r="M529" s="13"/>
    </row>
    <row r="530" spans="6:13" ht="13.2">
      <c r="F530" s="15"/>
      <c r="G530" s="15"/>
      <c r="H530" s="16"/>
      <c r="I530" s="16"/>
      <c r="J530" s="11"/>
      <c r="K530" s="11"/>
      <c r="L530" s="13"/>
      <c r="M530" s="13"/>
    </row>
    <row r="531" spans="6:13" ht="13.2">
      <c r="F531" s="15"/>
      <c r="G531" s="15"/>
      <c r="H531" s="16"/>
      <c r="I531" s="16"/>
      <c r="J531" s="11"/>
      <c r="K531" s="11"/>
      <c r="L531" s="13"/>
      <c r="M531" s="13"/>
    </row>
    <row r="532" spans="6:13" ht="13.2">
      <c r="F532" s="15"/>
      <c r="G532" s="15"/>
      <c r="H532" s="16"/>
      <c r="I532" s="16"/>
      <c r="J532" s="11"/>
      <c r="K532" s="11"/>
      <c r="L532" s="13"/>
      <c r="M532" s="13"/>
    </row>
    <row r="533" spans="6:13" ht="13.2">
      <c r="F533" s="15"/>
      <c r="G533" s="15"/>
      <c r="H533" s="16"/>
      <c r="I533" s="16"/>
      <c r="J533" s="11"/>
      <c r="K533" s="11"/>
      <c r="L533" s="13"/>
      <c r="M533" s="13"/>
    </row>
    <row r="534" spans="6:13" ht="13.2">
      <c r="F534" s="15"/>
      <c r="G534" s="15"/>
      <c r="H534" s="16"/>
      <c r="I534" s="16"/>
      <c r="J534" s="11"/>
      <c r="K534" s="11"/>
      <c r="L534" s="13"/>
      <c r="M534" s="13"/>
    </row>
    <row r="535" spans="6:13" ht="13.2">
      <c r="F535" s="15"/>
      <c r="G535" s="15"/>
      <c r="H535" s="16"/>
      <c r="I535" s="16"/>
      <c r="J535" s="11"/>
      <c r="K535" s="11"/>
      <c r="L535" s="13"/>
      <c r="M535" s="13"/>
    </row>
    <row r="536" spans="6:13" ht="13.2">
      <c r="F536" s="15"/>
      <c r="G536" s="15"/>
      <c r="H536" s="16"/>
      <c r="I536" s="16"/>
      <c r="J536" s="11"/>
      <c r="K536" s="11"/>
      <c r="L536" s="13"/>
      <c r="M536" s="13"/>
    </row>
    <row r="537" spans="6:13" ht="13.2">
      <c r="F537" s="15"/>
      <c r="G537" s="15"/>
      <c r="H537" s="16"/>
      <c r="I537" s="16"/>
      <c r="J537" s="11"/>
      <c r="K537" s="11"/>
      <c r="L537" s="13"/>
      <c r="M537" s="13"/>
    </row>
    <row r="538" spans="6:13" ht="13.2">
      <c r="F538" s="15"/>
      <c r="G538" s="15"/>
      <c r="H538" s="16"/>
      <c r="I538" s="16"/>
      <c r="J538" s="11"/>
      <c r="K538" s="11"/>
      <c r="L538" s="13"/>
      <c r="M538" s="13"/>
    </row>
    <row r="539" spans="6:13" ht="13.2">
      <c r="F539" s="15"/>
      <c r="G539" s="15"/>
      <c r="H539" s="16"/>
      <c r="I539" s="16"/>
      <c r="J539" s="11"/>
      <c r="K539" s="11"/>
      <c r="L539" s="13"/>
      <c r="M539" s="13"/>
    </row>
    <row r="540" spans="6:13" ht="13.2">
      <c r="F540" s="15"/>
      <c r="G540" s="15"/>
      <c r="H540" s="16"/>
      <c r="I540" s="16"/>
      <c r="J540" s="11"/>
      <c r="K540" s="11"/>
      <c r="L540" s="13"/>
      <c r="M540" s="13"/>
    </row>
    <row r="541" spans="6:13" ht="13.2">
      <c r="F541" s="15"/>
      <c r="G541" s="15"/>
      <c r="H541" s="16"/>
      <c r="I541" s="16"/>
      <c r="J541" s="11"/>
      <c r="K541" s="11"/>
      <c r="L541" s="13"/>
      <c r="M541" s="13"/>
    </row>
    <row r="542" spans="6:13" ht="13.2">
      <c r="F542" s="15"/>
      <c r="G542" s="15"/>
      <c r="H542" s="16"/>
      <c r="I542" s="16"/>
      <c r="J542" s="11"/>
      <c r="K542" s="11"/>
      <c r="L542" s="13"/>
      <c r="M542" s="13"/>
    </row>
    <row r="543" spans="6:13" ht="13.2">
      <c r="F543" s="15"/>
      <c r="G543" s="15"/>
      <c r="H543" s="16"/>
      <c r="I543" s="16"/>
      <c r="J543" s="11"/>
      <c r="K543" s="11"/>
      <c r="L543" s="13"/>
      <c r="M543" s="13"/>
    </row>
    <row r="544" spans="6:13" ht="13.2">
      <c r="F544" s="15"/>
      <c r="G544" s="15"/>
      <c r="H544" s="16"/>
      <c r="I544" s="16"/>
      <c r="J544" s="11"/>
      <c r="K544" s="11"/>
      <c r="L544" s="13"/>
      <c r="M544" s="13"/>
    </row>
    <row r="545" spans="6:13" ht="13.2">
      <c r="F545" s="15"/>
      <c r="G545" s="15"/>
      <c r="H545" s="16"/>
      <c r="I545" s="16"/>
      <c r="J545" s="11"/>
      <c r="K545" s="11"/>
      <c r="L545" s="13"/>
      <c r="M545" s="13"/>
    </row>
    <row r="546" spans="6:13" ht="13.2">
      <c r="F546" s="15"/>
      <c r="G546" s="15"/>
      <c r="H546" s="16"/>
      <c r="I546" s="16"/>
      <c r="J546" s="11"/>
      <c r="K546" s="11"/>
      <c r="L546" s="13"/>
      <c r="M546" s="13"/>
    </row>
    <row r="547" spans="6:13" ht="13.2">
      <c r="F547" s="15"/>
      <c r="G547" s="15"/>
      <c r="H547" s="16"/>
      <c r="I547" s="16"/>
      <c r="J547" s="11"/>
      <c r="K547" s="11"/>
      <c r="L547" s="13"/>
      <c r="M547" s="13"/>
    </row>
    <row r="548" spans="6:13" ht="13.2">
      <c r="F548" s="15"/>
      <c r="G548" s="15"/>
      <c r="H548" s="16"/>
      <c r="I548" s="16"/>
      <c r="J548" s="11"/>
      <c r="K548" s="11"/>
      <c r="L548" s="13"/>
      <c r="M548" s="13"/>
    </row>
    <row r="549" spans="6:13" ht="13.2">
      <c r="F549" s="15"/>
      <c r="G549" s="15"/>
      <c r="H549" s="16"/>
      <c r="I549" s="16"/>
      <c r="J549" s="11"/>
      <c r="K549" s="11"/>
      <c r="L549" s="13"/>
      <c r="M549" s="13"/>
    </row>
    <row r="550" spans="6:13" ht="13.2">
      <c r="F550" s="15"/>
      <c r="G550" s="15"/>
      <c r="H550" s="16"/>
      <c r="I550" s="16"/>
      <c r="J550" s="11"/>
      <c r="K550" s="11"/>
      <c r="L550" s="13"/>
      <c r="M550" s="13"/>
    </row>
    <row r="551" spans="6:13" ht="13.2">
      <c r="F551" s="15"/>
      <c r="G551" s="15"/>
      <c r="H551" s="16"/>
      <c r="I551" s="16"/>
      <c r="J551" s="11"/>
      <c r="K551" s="11"/>
      <c r="L551" s="13"/>
      <c r="M551" s="13"/>
    </row>
    <row r="552" spans="6:13" ht="13.2">
      <c r="F552" s="15"/>
      <c r="G552" s="15"/>
      <c r="H552" s="16"/>
      <c r="I552" s="16"/>
      <c r="J552" s="11"/>
      <c r="K552" s="11"/>
      <c r="L552" s="13"/>
      <c r="M552" s="13"/>
    </row>
    <row r="553" spans="6:13" ht="13.2">
      <c r="F553" s="15"/>
      <c r="G553" s="15"/>
      <c r="H553" s="16"/>
      <c r="I553" s="16"/>
      <c r="J553" s="11"/>
      <c r="K553" s="11"/>
      <c r="L553" s="13"/>
      <c r="M553" s="13"/>
    </row>
    <row r="554" spans="6:13" ht="13.2">
      <c r="F554" s="15"/>
      <c r="G554" s="15"/>
      <c r="H554" s="16"/>
      <c r="I554" s="16"/>
      <c r="J554" s="11"/>
      <c r="K554" s="11"/>
      <c r="L554" s="13"/>
      <c r="M554" s="13"/>
    </row>
    <row r="555" spans="6:13" ht="13.2">
      <c r="F555" s="15"/>
      <c r="G555" s="15"/>
      <c r="H555" s="16"/>
      <c r="I555" s="16"/>
      <c r="J555" s="11"/>
      <c r="K555" s="11"/>
      <c r="L555" s="13"/>
      <c r="M555" s="13"/>
    </row>
    <row r="556" spans="6:13" ht="13.2">
      <c r="F556" s="15"/>
      <c r="G556" s="15"/>
      <c r="H556" s="16"/>
      <c r="I556" s="16"/>
      <c r="J556" s="11"/>
      <c r="K556" s="11"/>
      <c r="L556" s="13"/>
      <c r="M556" s="13"/>
    </row>
    <row r="557" spans="6:13" ht="13.2">
      <c r="F557" s="15"/>
      <c r="G557" s="15"/>
      <c r="H557" s="16"/>
      <c r="I557" s="16"/>
      <c r="J557" s="11"/>
      <c r="K557" s="11"/>
      <c r="L557" s="13"/>
      <c r="M557" s="13"/>
    </row>
    <row r="558" spans="6:13" ht="13.2">
      <c r="F558" s="15"/>
      <c r="G558" s="15"/>
      <c r="H558" s="16"/>
      <c r="I558" s="16"/>
      <c r="J558" s="11"/>
      <c r="K558" s="11"/>
      <c r="L558" s="13"/>
      <c r="M558" s="13"/>
    </row>
    <row r="559" spans="6:13" ht="13.2">
      <c r="F559" s="15"/>
      <c r="G559" s="15"/>
      <c r="H559" s="16"/>
      <c r="I559" s="16"/>
      <c r="J559" s="11"/>
      <c r="K559" s="11"/>
      <c r="L559" s="13"/>
      <c r="M559" s="13"/>
    </row>
    <row r="560" spans="6:13" ht="13.2">
      <c r="F560" s="15"/>
      <c r="G560" s="15"/>
      <c r="H560" s="16"/>
      <c r="I560" s="16"/>
      <c r="J560" s="11"/>
      <c r="K560" s="11"/>
      <c r="L560" s="13"/>
      <c r="M560" s="13"/>
    </row>
    <row r="561" spans="6:13" ht="13.2">
      <c r="F561" s="15"/>
      <c r="G561" s="15"/>
      <c r="H561" s="16"/>
      <c r="I561" s="16"/>
      <c r="J561" s="11"/>
      <c r="K561" s="11"/>
      <c r="L561" s="13"/>
      <c r="M561" s="13"/>
    </row>
    <row r="562" spans="6:13" ht="13.2">
      <c r="F562" s="15"/>
      <c r="G562" s="15"/>
      <c r="H562" s="16"/>
      <c r="I562" s="16"/>
      <c r="J562" s="11"/>
      <c r="K562" s="11"/>
      <c r="L562" s="13"/>
      <c r="M562" s="13"/>
    </row>
    <row r="563" spans="6:13" ht="13.2">
      <c r="F563" s="15"/>
      <c r="G563" s="15"/>
      <c r="H563" s="16"/>
      <c r="I563" s="16"/>
      <c r="J563" s="11"/>
      <c r="K563" s="11"/>
      <c r="L563" s="13"/>
      <c r="M563" s="13"/>
    </row>
    <row r="564" spans="6:13" ht="13.2">
      <c r="F564" s="15"/>
      <c r="G564" s="15"/>
      <c r="H564" s="16"/>
      <c r="I564" s="16"/>
      <c r="J564" s="11"/>
      <c r="K564" s="11"/>
      <c r="L564" s="13"/>
      <c r="M564" s="13"/>
    </row>
    <row r="565" spans="6:13" ht="13.2">
      <c r="F565" s="15"/>
      <c r="G565" s="15"/>
      <c r="H565" s="16"/>
      <c r="I565" s="16"/>
      <c r="J565" s="11"/>
      <c r="K565" s="11"/>
      <c r="L565" s="13"/>
      <c r="M565" s="13"/>
    </row>
    <row r="566" spans="6:13" ht="13.2">
      <c r="F566" s="15"/>
      <c r="G566" s="15"/>
      <c r="H566" s="16"/>
      <c r="I566" s="16"/>
      <c r="J566" s="11"/>
      <c r="K566" s="11"/>
      <c r="L566" s="13"/>
      <c r="M566" s="13"/>
    </row>
    <row r="567" spans="6:13" ht="13.2">
      <c r="F567" s="15"/>
      <c r="G567" s="15"/>
      <c r="H567" s="16"/>
      <c r="I567" s="16"/>
      <c r="J567" s="11"/>
      <c r="K567" s="11"/>
      <c r="L567" s="13"/>
      <c r="M567" s="13"/>
    </row>
    <row r="568" spans="6:13" ht="13.2">
      <c r="F568" s="15"/>
      <c r="G568" s="15"/>
      <c r="H568" s="16"/>
      <c r="I568" s="16"/>
      <c r="J568" s="11"/>
      <c r="K568" s="11"/>
      <c r="L568" s="13"/>
      <c r="M568" s="13"/>
    </row>
    <row r="569" spans="6:13" ht="13.2">
      <c r="F569" s="15"/>
      <c r="G569" s="15"/>
      <c r="H569" s="16"/>
      <c r="I569" s="16"/>
      <c r="J569" s="11"/>
      <c r="K569" s="11"/>
      <c r="L569" s="13"/>
      <c r="M569" s="13"/>
    </row>
    <row r="570" spans="6:13" ht="13.2">
      <c r="F570" s="15"/>
      <c r="G570" s="15"/>
      <c r="H570" s="16"/>
      <c r="I570" s="16"/>
      <c r="J570" s="11"/>
      <c r="K570" s="11"/>
      <c r="L570" s="13"/>
      <c r="M570" s="13"/>
    </row>
    <row r="571" spans="6:13" ht="13.2">
      <c r="F571" s="15"/>
      <c r="G571" s="15"/>
      <c r="H571" s="16"/>
      <c r="I571" s="16"/>
      <c r="J571" s="11"/>
      <c r="K571" s="11"/>
      <c r="L571" s="13"/>
      <c r="M571" s="13"/>
    </row>
    <row r="572" spans="6:13" ht="13.2">
      <c r="F572" s="15"/>
      <c r="G572" s="15"/>
      <c r="H572" s="16"/>
      <c r="I572" s="16"/>
      <c r="J572" s="11"/>
      <c r="K572" s="11"/>
      <c r="L572" s="13"/>
      <c r="M572" s="13"/>
    </row>
    <row r="573" spans="6:13" ht="13.2">
      <c r="F573" s="15"/>
      <c r="G573" s="15"/>
      <c r="H573" s="16"/>
      <c r="I573" s="16"/>
      <c r="J573" s="11"/>
      <c r="K573" s="11"/>
      <c r="L573" s="13"/>
      <c r="M573" s="13"/>
    </row>
    <row r="574" spans="6:13" ht="13.2">
      <c r="F574" s="15"/>
      <c r="G574" s="15"/>
      <c r="H574" s="16"/>
      <c r="I574" s="16"/>
      <c r="J574" s="11"/>
      <c r="K574" s="11"/>
      <c r="L574" s="13"/>
      <c r="M574" s="13"/>
    </row>
    <row r="575" spans="6:13" ht="13.2">
      <c r="F575" s="15"/>
      <c r="G575" s="15"/>
      <c r="H575" s="16"/>
      <c r="I575" s="16"/>
      <c r="J575" s="11"/>
      <c r="K575" s="11"/>
      <c r="L575" s="13"/>
      <c r="M575" s="13"/>
    </row>
    <row r="576" spans="6:13" ht="13.2">
      <c r="F576" s="15"/>
      <c r="G576" s="15"/>
      <c r="H576" s="16"/>
      <c r="I576" s="16"/>
      <c r="J576" s="11"/>
      <c r="K576" s="11"/>
      <c r="L576" s="13"/>
      <c r="M576" s="13"/>
    </row>
    <row r="577" spans="6:13" ht="13.2">
      <c r="F577" s="15"/>
      <c r="G577" s="15"/>
      <c r="H577" s="16"/>
      <c r="I577" s="16"/>
      <c r="J577" s="11"/>
      <c r="K577" s="11"/>
      <c r="L577" s="13"/>
      <c r="M577" s="13"/>
    </row>
    <row r="578" spans="6:13" ht="13.2">
      <c r="F578" s="15"/>
      <c r="G578" s="15"/>
      <c r="H578" s="16"/>
      <c r="I578" s="16"/>
      <c r="J578" s="11"/>
      <c r="K578" s="11"/>
      <c r="L578" s="13"/>
      <c r="M578" s="13"/>
    </row>
    <row r="579" spans="6:13" ht="13.2">
      <c r="F579" s="15"/>
      <c r="G579" s="15"/>
      <c r="H579" s="16"/>
      <c r="I579" s="16"/>
      <c r="J579" s="11"/>
      <c r="K579" s="11"/>
      <c r="L579" s="13"/>
      <c r="M579" s="13"/>
    </row>
    <row r="580" spans="6:13" ht="13.2">
      <c r="F580" s="15"/>
      <c r="G580" s="15"/>
      <c r="H580" s="16"/>
      <c r="I580" s="16"/>
      <c r="J580" s="11"/>
      <c r="K580" s="11"/>
      <c r="L580" s="13"/>
      <c r="M580" s="13"/>
    </row>
    <row r="581" spans="6:13" ht="13.2">
      <c r="F581" s="15"/>
      <c r="G581" s="15"/>
      <c r="H581" s="16"/>
      <c r="I581" s="16"/>
      <c r="J581" s="11"/>
      <c r="K581" s="11"/>
      <c r="L581" s="13"/>
      <c r="M581" s="13"/>
    </row>
    <row r="582" spans="6:13" ht="13.2">
      <c r="F582" s="15"/>
      <c r="G582" s="15"/>
      <c r="H582" s="16"/>
      <c r="I582" s="16"/>
      <c r="J582" s="11"/>
      <c r="K582" s="11"/>
      <c r="L582" s="13"/>
      <c r="M582" s="13"/>
    </row>
    <row r="583" spans="6:13" ht="13.2">
      <c r="F583" s="15"/>
      <c r="G583" s="15"/>
      <c r="H583" s="16"/>
      <c r="I583" s="16"/>
      <c r="J583" s="11"/>
      <c r="K583" s="11"/>
      <c r="L583" s="13"/>
      <c r="M583" s="13"/>
    </row>
    <row r="584" spans="6:13" ht="13.2">
      <c r="F584" s="15"/>
      <c r="G584" s="15"/>
      <c r="H584" s="16"/>
      <c r="I584" s="16"/>
      <c r="J584" s="11"/>
      <c r="K584" s="11"/>
      <c r="L584" s="13"/>
      <c r="M584" s="13"/>
    </row>
    <row r="585" spans="6:13" ht="13.2">
      <c r="F585" s="15"/>
      <c r="G585" s="15"/>
      <c r="H585" s="16"/>
      <c r="I585" s="16"/>
      <c r="J585" s="11"/>
      <c r="K585" s="11"/>
      <c r="L585" s="13"/>
      <c r="M585" s="13"/>
    </row>
    <row r="586" spans="6:13" ht="13.2">
      <c r="F586" s="15"/>
      <c r="G586" s="15"/>
      <c r="H586" s="16"/>
      <c r="I586" s="16"/>
      <c r="J586" s="11"/>
      <c r="K586" s="11"/>
      <c r="L586" s="13"/>
      <c r="M586" s="13"/>
    </row>
    <row r="587" spans="6:13" ht="13.2">
      <c r="F587" s="15"/>
      <c r="G587" s="15"/>
      <c r="H587" s="16"/>
      <c r="I587" s="16"/>
      <c r="J587" s="11"/>
      <c r="K587" s="11"/>
      <c r="L587" s="13"/>
      <c r="M587" s="13"/>
    </row>
    <row r="588" spans="6:13" ht="13.2">
      <c r="F588" s="15"/>
      <c r="G588" s="15"/>
      <c r="H588" s="16"/>
      <c r="I588" s="16"/>
      <c r="J588" s="11"/>
      <c r="K588" s="11"/>
      <c r="L588" s="13"/>
      <c r="M588" s="13"/>
    </row>
    <row r="589" spans="6:13" ht="13.2">
      <c r="F589" s="15"/>
      <c r="G589" s="15"/>
      <c r="H589" s="16"/>
      <c r="I589" s="16"/>
      <c r="J589" s="11"/>
      <c r="K589" s="11"/>
      <c r="L589" s="13"/>
      <c r="M589" s="13"/>
    </row>
    <row r="590" spans="6:13" ht="13.2">
      <c r="F590" s="15"/>
      <c r="G590" s="15"/>
      <c r="H590" s="16"/>
      <c r="I590" s="16"/>
      <c r="J590" s="11"/>
      <c r="K590" s="11"/>
      <c r="L590" s="13"/>
      <c r="M590" s="13"/>
    </row>
    <row r="591" spans="6:13" ht="13.2">
      <c r="F591" s="15"/>
      <c r="G591" s="15"/>
      <c r="H591" s="16"/>
      <c r="I591" s="16"/>
      <c r="J591" s="11"/>
      <c r="K591" s="11"/>
      <c r="L591" s="13"/>
      <c r="M591" s="13"/>
    </row>
    <row r="592" spans="6:13" ht="13.2">
      <c r="F592" s="15"/>
      <c r="G592" s="15"/>
      <c r="H592" s="16"/>
      <c r="I592" s="16"/>
      <c r="J592" s="11"/>
      <c r="K592" s="11"/>
      <c r="L592" s="13"/>
      <c r="M592" s="13"/>
    </row>
    <row r="593" spans="6:13" ht="13.2">
      <c r="F593" s="15"/>
      <c r="G593" s="15"/>
      <c r="H593" s="16"/>
      <c r="I593" s="16"/>
      <c r="J593" s="11"/>
      <c r="K593" s="11"/>
      <c r="L593" s="13"/>
      <c r="M593" s="13"/>
    </row>
    <row r="594" spans="6:13" ht="13.2">
      <c r="F594" s="15"/>
      <c r="G594" s="15"/>
      <c r="H594" s="16"/>
      <c r="I594" s="16"/>
      <c r="J594" s="11"/>
      <c r="K594" s="11"/>
      <c r="L594" s="13"/>
      <c r="M594" s="13"/>
    </row>
    <row r="595" spans="6:13" ht="13.2">
      <c r="F595" s="15"/>
      <c r="G595" s="15"/>
      <c r="H595" s="16"/>
      <c r="I595" s="16"/>
      <c r="J595" s="11"/>
      <c r="K595" s="11"/>
      <c r="L595" s="13"/>
      <c r="M595" s="13"/>
    </row>
    <row r="596" spans="6:13" ht="13.2">
      <c r="F596" s="15"/>
      <c r="G596" s="15"/>
      <c r="H596" s="16"/>
      <c r="I596" s="16"/>
      <c r="J596" s="11"/>
      <c r="K596" s="11"/>
      <c r="L596" s="13"/>
      <c r="M596" s="13"/>
    </row>
    <row r="597" spans="6:13" ht="13.2">
      <c r="F597" s="15"/>
      <c r="G597" s="15"/>
      <c r="H597" s="16"/>
      <c r="I597" s="16"/>
      <c r="J597" s="11"/>
      <c r="K597" s="11"/>
      <c r="L597" s="13"/>
      <c r="M597" s="13"/>
    </row>
    <row r="598" spans="6:13" ht="13.2">
      <c r="F598" s="15"/>
      <c r="G598" s="15"/>
      <c r="H598" s="16"/>
      <c r="I598" s="16"/>
      <c r="J598" s="11"/>
      <c r="K598" s="11"/>
      <c r="L598" s="13"/>
      <c r="M598" s="13"/>
    </row>
    <row r="599" spans="6:13" ht="13.2">
      <c r="F599" s="15"/>
      <c r="G599" s="15"/>
      <c r="H599" s="16"/>
      <c r="I599" s="16"/>
      <c r="J599" s="11"/>
      <c r="K599" s="11"/>
      <c r="L599" s="13"/>
      <c r="M599" s="13"/>
    </row>
    <row r="600" spans="6:13" ht="13.2">
      <c r="F600" s="15"/>
      <c r="G600" s="15"/>
      <c r="H600" s="16"/>
      <c r="I600" s="16"/>
      <c r="J600" s="11"/>
      <c r="K600" s="11"/>
      <c r="L600" s="13"/>
      <c r="M600" s="13"/>
    </row>
    <row r="601" spans="6:13" ht="13.2">
      <c r="F601" s="15"/>
      <c r="G601" s="15"/>
      <c r="H601" s="16"/>
      <c r="I601" s="16"/>
      <c r="J601" s="11"/>
      <c r="K601" s="11"/>
      <c r="L601" s="13"/>
      <c r="M601" s="13"/>
    </row>
    <row r="602" spans="6:13" ht="13.2">
      <c r="F602" s="15"/>
      <c r="G602" s="15"/>
      <c r="H602" s="16"/>
      <c r="I602" s="16"/>
      <c r="J602" s="11"/>
      <c r="K602" s="11"/>
      <c r="L602" s="13"/>
      <c r="M602" s="13"/>
    </row>
    <row r="603" spans="6:13" ht="13.2">
      <c r="F603" s="15"/>
      <c r="G603" s="15"/>
      <c r="H603" s="16"/>
      <c r="I603" s="16"/>
      <c r="J603" s="11"/>
      <c r="K603" s="11"/>
      <c r="L603" s="13"/>
      <c r="M603" s="13"/>
    </row>
    <row r="604" spans="6:13" ht="13.2">
      <c r="F604" s="15"/>
      <c r="G604" s="15"/>
      <c r="H604" s="16"/>
      <c r="I604" s="16"/>
      <c r="J604" s="11"/>
      <c r="K604" s="11"/>
      <c r="L604" s="13"/>
      <c r="M604" s="13"/>
    </row>
    <row r="605" spans="6:13" ht="13.2">
      <c r="F605" s="15"/>
      <c r="G605" s="15"/>
      <c r="H605" s="16"/>
      <c r="I605" s="16"/>
      <c r="J605" s="11"/>
      <c r="K605" s="11"/>
      <c r="L605" s="13"/>
      <c r="M605" s="13"/>
    </row>
    <row r="606" spans="6:13" ht="13.2">
      <c r="F606" s="15"/>
      <c r="G606" s="15"/>
      <c r="H606" s="16"/>
      <c r="I606" s="16"/>
      <c r="J606" s="11"/>
      <c r="K606" s="11"/>
      <c r="L606" s="13"/>
      <c r="M606" s="13"/>
    </row>
    <row r="607" spans="6:13" ht="13.2">
      <c r="F607" s="15"/>
      <c r="G607" s="15"/>
      <c r="H607" s="16"/>
      <c r="I607" s="16"/>
      <c r="J607" s="11"/>
      <c r="K607" s="11"/>
      <c r="L607" s="13"/>
      <c r="M607" s="13"/>
    </row>
    <row r="608" spans="6:13" ht="13.2">
      <c r="F608" s="15"/>
      <c r="G608" s="15"/>
      <c r="H608" s="16"/>
      <c r="I608" s="16"/>
      <c r="J608" s="11"/>
      <c r="K608" s="11"/>
      <c r="L608" s="13"/>
      <c r="M608" s="13"/>
    </row>
    <row r="609" spans="6:13" ht="13.2">
      <c r="F609" s="15"/>
      <c r="G609" s="15"/>
      <c r="H609" s="16"/>
      <c r="I609" s="16"/>
      <c r="J609" s="11"/>
      <c r="K609" s="11"/>
      <c r="L609" s="13"/>
      <c r="M609" s="13"/>
    </row>
    <row r="610" spans="6:13" ht="13.2">
      <c r="F610" s="15"/>
      <c r="G610" s="15"/>
      <c r="H610" s="16"/>
      <c r="I610" s="16"/>
      <c r="J610" s="11"/>
      <c r="K610" s="11"/>
      <c r="L610" s="13"/>
      <c r="M610" s="13"/>
    </row>
    <row r="611" spans="6:13" ht="13.2">
      <c r="F611" s="15"/>
      <c r="G611" s="15"/>
      <c r="H611" s="16"/>
      <c r="I611" s="16"/>
      <c r="J611" s="11"/>
      <c r="K611" s="11"/>
      <c r="L611" s="13"/>
      <c r="M611" s="13"/>
    </row>
    <row r="612" spans="6:13" ht="13.2">
      <c r="F612" s="15"/>
      <c r="G612" s="15"/>
      <c r="H612" s="16"/>
      <c r="I612" s="16"/>
      <c r="J612" s="11"/>
      <c r="K612" s="11"/>
      <c r="L612" s="13"/>
      <c r="M612" s="13"/>
    </row>
    <row r="613" spans="6:13" ht="13.2">
      <c r="F613" s="15"/>
      <c r="G613" s="15"/>
      <c r="H613" s="16"/>
      <c r="I613" s="16"/>
      <c r="J613" s="11"/>
      <c r="K613" s="11"/>
      <c r="L613" s="13"/>
      <c r="M613" s="13"/>
    </row>
    <row r="614" spans="6:13" ht="13.2">
      <c r="F614" s="15"/>
      <c r="G614" s="15"/>
      <c r="H614" s="16"/>
      <c r="I614" s="16"/>
      <c r="J614" s="11"/>
      <c r="K614" s="11"/>
      <c r="L614" s="13"/>
      <c r="M614" s="13"/>
    </row>
    <row r="615" spans="6:13" ht="13.2">
      <c r="F615" s="15"/>
      <c r="G615" s="15"/>
      <c r="H615" s="16"/>
      <c r="I615" s="16"/>
      <c r="J615" s="11"/>
      <c r="K615" s="11"/>
      <c r="L615" s="13"/>
      <c r="M615" s="13"/>
    </row>
    <row r="616" spans="6:13" ht="13.2">
      <c r="F616" s="15"/>
      <c r="G616" s="15"/>
      <c r="H616" s="16"/>
      <c r="I616" s="16"/>
      <c r="J616" s="11"/>
      <c r="K616" s="11"/>
      <c r="L616" s="13"/>
      <c r="M616" s="13"/>
    </row>
    <row r="617" spans="6:13" ht="13.2">
      <c r="F617" s="15"/>
      <c r="G617" s="15"/>
      <c r="H617" s="16"/>
      <c r="I617" s="16"/>
      <c r="J617" s="11"/>
      <c r="K617" s="11"/>
      <c r="L617" s="13"/>
      <c r="M617" s="13"/>
    </row>
    <row r="618" spans="6:13" ht="13.2">
      <c r="F618" s="15"/>
      <c r="G618" s="15"/>
      <c r="H618" s="16"/>
      <c r="I618" s="16"/>
      <c r="J618" s="11"/>
      <c r="K618" s="11"/>
      <c r="L618" s="13"/>
      <c r="M618" s="13"/>
    </row>
    <row r="619" spans="6:13" ht="13.2">
      <c r="F619" s="15"/>
      <c r="G619" s="15"/>
      <c r="H619" s="16"/>
      <c r="I619" s="16"/>
      <c r="J619" s="11"/>
      <c r="K619" s="11"/>
      <c r="L619" s="13"/>
      <c r="M619" s="13"/>
    </row>
    <row r="620" spans="6:13" ht="13.2">
      <c r="F620" s="15"/>
      <c r="G620" s="15"/>
      <c r="H620" s="16"/>
      <c r="I620" s="16"/>
      <c r="J620" s="11"/>
      <c r="K620" s="11"/>
      <c r="L620" s="13"/>
      <c r="M620" s="13"/>
    </row>
    <row r="621" spans="6:13" ht="13.2">
      <c r="F621" s="15"/>
      <c r="G621" s="15"/>
      <c r="H621" s="16"/>
      <c r="I621" s="16"/>
      <c r="J621" s="11"/>
      <c r="K621" s="11"/>
      <c r="L621" s="13"/>
      <c r="M621" s="13"/>
    </row>
    <row r="622" spans="6:13" ht="13.2">
      <c r="F622" s="15"/>
      <c r="G622" s="15"/>
      <c r="H622" s="16"/>
      <c r="I622" s="16"/>
      <c r="J622" s="11"/>
      <c r="K622" s="11"/>
      <c r="L622" s="13"/>
      <c r="M622" s="13"/>
    </row>
    <row r="623" spans="6:13" ht="13.2">
      <c r="F623" s="15"/>
      <c r="G623" s="15"/>
      <c r="H623" s="16"/>
      <c r="I623" s="16"/>
      <c r="J623" s="11"/>
      <c r="K623" s="11"/>
      <c r="L623" s="13"/>
      <c r="M623" s="13"/>
    </row>
    <row r="624" spans="6:13" ht="13.2">
      <c r="F624" s="15"/>
      <c r="G624" s="15"/>
      <c r="H624" s="16"/>
      <c r="I624" s="16"/>
      <c r="J624" s="11"/>
      <c r="K624" s="11"/>
      <c r="L624" s="13"/>
      <c r="M624" s="13"/>
    </row>
    <row r="625" spans="6:13" ht="13.2">
      <c r="F625" s="15"/>
      <c r="G625" s="15"/>
      <c r="H625" s="16"/>
      <c r="I625" s="16"/>
      <c r="J625" s="11"/>
      <c r="K625" s="11"/>
      <c r="L625" s="13"/>
      <c r="M625" s="13"/>
    </row>
    <row r="626" spans="6:13" ht="13.2">
      <c r="F626" s="15"/>
      <c r="G626" s="15"/>
      <c r="H626" s="16"/>
      <c r="I626" s="16"/>
      <c r="J626" s="11"/>
      <c r="K626" s="11"/>
      <c r="L626" s="13"/>
      <c r="M626" s="13"/>
    </row>
    <row r="627" spans="6:13" ht="13.2">
      <c r="F627" s="15"/>
      <c r="G627" s="15"/>
      <c r="H627" s="16"/>
      <c r="I627" s="16"/>
      <c r="J627" s="11"/>
      <c r="K627" s="11"/>
      <c r="L627" s="13"/>
      <c r="M627" s="13"/>
    </row>
    <row r="628" spans="6:13" ht="13.2">
      <c r="F628" s="15"/>
      <c r="G628" s="15"/>
      <c r="H628" s="16"/>
      <c r="I628" s="16"/>
      <c r="J628" s="11"/>
      <c r="K628" s="11"/>
      <c r="L628" s="13"/>
      <c r="M628" s="13"/>
    </row>
    <row r="629" spans="6:13" ht="13.2">
      <c r="F629" s="15"/>
      <c r="G629" s="15"/>
      <c r="H629" s="16"/>
      <c r="I629" s="16"/>
      <c r="J629" s="11"/>
      <c r="K629" s="11"/>
      <c r="L629" s="13"/>
      <c r="M629" s="13"/>
    </row>
    <row r="630" spans="6:13" ht="13.2">
      <c r="F630" s="15"/>
      <c r="G630" s="15"/>
      <c r="H630" s="16"/>
      <c r="I630" s="16"/>
      <c r="J630" s="11"/>
      <c r="K630" s="11"/>
      <c r="L630" s="13"/>
      <c r="M630" s="13"/>
    </row>
    <row r="631" spans="6:13" ht="13.2">
      <c r="F631" s="15"/>
      <c r="G631" s="15"/>
      <c r="H631" s="16"/>
      <c r="I631" s="16"/>
      <c r="J631" s="11"/>
      <c r="K631" s="11"/>
      <c r="L631" s="13"/>
      <c r="M631" s="13"/>
    </row>
    <row r="632" spans="6:13" ht="13.2">
      <c r="F632" s="15"/>
      <c r="G632" s="15"/>
      <c r="H632" s="16"/>
      <c r="I632" s="16"/>
      <c r="J632" s="11"/>
      <c r="K632" s="11"/>
      <c r="L632" s="13"/>
      <c r="M632" s="13"/>
    </row>
    <row r="633" spans="6:13" ht="13.2">
      <c r="F633" s="15"/>
      <c r="G633" s="15"/>
      <c r="H633" s="16"/>
      <c r="I633" s="16"/>
      <c r="J633" s="11"/>
      <c r="K633" s="11"/>
      <c r="L633" s="13"/>
      <c r="M633" s="13"/>
    </row>
    <row r="634" spans="6:13" ht="13.2">
      <c r="F634" s="15"/>
      <c r="G634" s="15"/>
      <c r="H634" s="16"/>
      <c r="I634" s="16"/>
      <c r="J634" s="11"/>
      <c r="K634" s="11"/>
      <c r="L634" s="13"/>
      <c r="M634" s="13"/>
    </row>
    <row r="635" spans="6:13" ht="13.2">
      <c r="F635" s="15"/>
      <c r="G635" s="15"/>
      <c r="H635" s="16"/>
      <c r="I635" s="16"/>
      <c r="J635" s="11"/>
      <c r="K635" s="11"/>
      <c r="L635" s="13"/>
      <c r="M635" s="13"/>
    </row>
    <row r="636" spans="6:13" ht="13.2">
      <c r="F636" s="15"/>
      <c r="G636" s="15"/>
      <c r="H636" s="16"/>
      <c r="I636" s="16"/>
      <c r="J636" s="11"/>
      <c r="K636" s="11"/>
      <c r="L636" s="13"/>
      <c r="M636" s="13"/>
    </row>
    <row r="637" spans="6:13" ht="13.2">
      <c r="F637" s="15"/>
      <c r="G637" s="15"/>
      <c r="H637" s="16"/>
      <c r="I637" s="16"/>
      <c r="J637" s="11"/>
      <c r="K637" s="11"/>
      <c r="L637" s="13"/>
      <c r="M637" s="13"/>
    </row>
    <row r="638" spans="6:13" ht="13.2">
      <c r="F638" s="15"/>
      <c r="G638" s="15"/>
      <c r="H638" s="16"/>
      <c r="I638" s="16"/>
      <c r="J638" s="11"/>
      <c r="K638" s="11"/>
      <c r="L638" s="13"/>
      <c r="M638" s="13"/>
    </row>
    <row r="639" spans="6:13" ht="13.2">
      <c r="F639" s="15"/>
      <c r="G639" s="15"/>
      <c r="H639" s="16"/>
      <c r="I639" s="16"/>
      <c r="J639" s="11"/>
      <c r="K639" s="11"/>
      <c r="L639" s="13"/>
      <c r="M639" s="13"/>
    </row>
    <row r="640" spans="6:13" ht="13.2">
      <c r="F640" s="15"/>
      <c r="G640" s="15"/>
      <c r="H640" s="16"/>
      <c r="I640" s="16"/>
      <c r="J640" s="11"/>
      <c r="K640" s="11"/>
      <c r="L640" s="13"/>
      <c r="M640" s="13"/>
    </row>
    <row r="641" spans="6:13" ht="13.2">
      <c r="F641" s="15"/>
      <c r="G641" s="15"/>
      <c r="H641" s="16"/>
      <c r="I641" s="16"/>
      <c r="J641" s="11"/>
      <c r="K641" s="11"/>
      <c r="L641" s="13"/>
      <c r="M641" s="13"/>
    </row>
    <row r="642" spans="6:13" ht="13.2">
      <c r="F642" s="15"/>
      <c r="G642" s="15"/>
      <c r="H642" s="16"/>
      <c r="I642" s="16"/>
      <c r="J642" s="11"/>
      <c r="K642" s="11"/>
      <c r="L642" s="13"/>
      <c r="M642" s="13"/>
    </row>
    <row r="643" spans="6:13" ht="13.2">
      <c r="F643" s="15"/>
      <c r="G643" s="15"/>
      <c r="H643" s="16"/>
      <c r="I643" s="16"/>
      <c r="J643" s="11"/>
      <c r="K643" s="11"/>
      <c r="L643" s="13"/>
      <c r="M643" s="13"/>
    </row>
    <row r="644" spans="6:13" ht="13.2">
      <c r="F644" s="15"/>
      <c r="G644" s="15"/>
      <c r="H644" s="16"/>
      <c r="I644" s="16"/>
      <c r="J644" s="11"/>
      <c r="K644" s="11"/>
      <c r="L644" s="13"/>
      <c r="M644" s="13"/>
    </row>
    <row r="645" spans="6:13" ht="13.2">
      <c r="F645" s="15"/>
      <c r="G645" s="15"/>
      <c r="H645" s="16"/>
      <c r="I645" s="16"/>
      <c r="J645" s="11"/>
      <c r="K645" s="11"/>
      <c r="L645" s="13"/>
      <c r="M645" s="13"/>
    </row>
    <row r="646" spans="6:13" ht="13.2">
      <c r="F646" s="15"/>
      <c r="G646" s="15"/>
      <c r="H646" s="16"/>
      <c r="I646" s="16"/>
      <c r="J646" s="11"/>
      <c r="K646" s="11"/>
      <c r="L646" s="13"/>
      <c r="M646" s="13"/>
    </row>
    <row r="647" spans="6:13" ht="13.2">
      <c r="F647" s="15"/>
      <c r="G647" s="15"/>
      <c r="H647" s="16"/>
      <c r="I647" s="16"/>
      <c r="J647" s="11"/>
      <c r="K647" s="11"/>
      <c r="L647" s="13"/>
      <c r="M647" s="13"/>
    </row>
    <row r="648" spans="6:13" ht="13.2">
      <c r="F648" s="15"/>
      <c r="G648" s="15"/>
      <c r="H648" s="16"/>
      <c r="I648" s="16"/>
      <c r="J648" s="11"/>
      <c r="K648" s="11"/>
      <c r="L648" s="13"/>
      <c r="M648" s="13"/>
    </row>
    <row r="649" spans="6:13" ht="13.2">
      <c r="F649" s="15"/>
      <c r="G649" s="15"/>
      <c r="H649" s="16"/>
      <c r="I649" s="16"/>
      <c r="J649" s="11"/>
      <c r="K649" s="11"/>
      <c r="L649" s="13"/>
      <c r="M649" s="13"/>
    </row>
    <row r="650" spans="6:13" ht="13.2">
      <c r="F650" s="15"/>
      <c r="G650" s="15"/>
      <c r="H650" s="16"/>
      <c r="I650" s="16"/>
      <c r="J650" s="11"/>
      <c r="K650" s="11"/>
      <c r="L650" s="13"/>
      <c r="M650" s="13"/>
    </row>
    <row r="651" spans="6:13" ht="13.2">
      <c r="F651" s="15"/>
      <c r="G651" s="15"/>
      <c r="H651" s="16"/>
      <c r="I651" s="16"/>
      <c r="J651" s="11"/>
      <c r="K651" s="11"/>
      <c r="L651" s="13"/>
      <c r="M651" s="13"/>
    </row>
    <row r="652" spans="6:13" ht="13.2">
      <c r="F652" s="15"/>
      <c r="G652" s="15"/>
      <c r="H652" s="16"/>
      <c r="I652" s="16"/>
      <c r="J652" s="11"/>
      <c r="K652" s="11"/>
      <c r="L652" s="13"/>
      <c r="M652" s="13"/>
    </row>
    <row r="653" spans="6:13" ht="13.2">
      <c r="F653" s="15"/>
      <c r="G653" s="15"/>
      <c r="H653" s="16"/>
      <c r="I653" s="16"/>
      <c r="J653" s="11"/>
      <c r="K653" s="11"/>
      <c r="L653" s="13"/>
      <c r="M653" s="13"/>
    </row>
    <row r="654" spans="6:13" ht="13.2">
      <c r="F654" s="15"/>
      <c r="G654" s="15"/>
      <c r="H654" s="16"/>
      <c r="I654" s="16"/>
      <c r="J654" s="11"/>
      <c r="K654" s="11"/>
      <c r="L654" s="13"/>
      <c r="M654" s="13"/>
    </row>
    <row r="655" spans="6:13" ht="13.2">
      <c r="F655" s="15"/>
      <c r="G655" s="15"/>
      <c r="H655" s="16"/>
      <c r="I655" s="16"/>
      <c r="J655" s="11"/>
      <c r="K655" s="11"/>
      <c r="L655" s="13"/>
      <c r="M655" s="13"/>
    </row>
    <row r="656" spans="6:13" ht="13.2">
      <c r="F656" s="15"/>
      <c r="G656" s="15"/>
      <c r="H656" s="16"/>
      <c r="I656" s="16"/>
      <c r="J656" s="11"/>
      <c r="K656" s="11"/>
      <c r="L656" s="13"/>
      <c r="M656" s="13"/>
    </row>
    <row r="657" spans="6:13" ht="13.2">
      <c r="F657" s="15"/>
      <c r="G657" s="15"/>
      <c r="H657" s="16"/>
      <c r="I657" s="16"/>
      <c r="J657" s="11"/>
      <c r="K657" s="11"/>
      <c r="L657" s="13"/>
      <c r="M657" s="13"/>
    </row>
    <row r="658" spans="6:13" ht="13.2">
      <c r="F658" s="15"/>
      <c r="G658" s="15"/>
      <c r="H658" s="16"/>
      <c r="I658" s="16"/>
      <c r="J658" s="11"/>
      <c r="K658" s="11"/>
      <c r="L658" s="13"/>
      <c r="M658" s="13"/>
    </row>
    <row r="659" spans="6:13" ht="13.2">
      <c r="F659" s="15"/>
      <c r="G659" s="15"/>
      <c r="H659" s="16"/>
      <c r="I659" s="16"/>
      <c r="J659" s="11"/>
      <c r="K659" s="11"/>
      <c r="L659" s="13"/>
      <c r="M659" s="13"/>
    </row>
    <row r="660" spans="6:13" ht="13.2">
      <c r="F660" s="15"/>
      <c r="G660" s="15"/>
      <c r="H660" s="16"/>
      <c r="I660" s="16"/>
      <c r="J660" s="11"/>
      <c r="K660" s="11"/>
      <c r="L660" s="13"/>
      <c r="M660" s="13"/>
    </row>
    <row r="661" spans="6:13" ht="13.2">
      <c r="F661" s="15"/>
      <c r="G661" s="15"/>
      <c r="H661" s="16"/>
      <c r="I661" s="16"/>
      <c r="J661" s="11"/>
      <c r="K661" s="11"/>
      <c r="L661" s="13"/>
      <c r="M661" s="13"/>
    </row>
    <row r="662" spans="6:13" ht="13.2">
      <c r="F662" s="15"/>
      <c r="G662" s="15"/>
      <c r="H662" s="16"/>
      <c r="I662" s="16"/>
      <c r="J662" s="11"/>
      <c r="K662" s="11"/>
      <c r="L662" s="13"/>
      <c r="M662" s="13"/>
    </row>
    <row r="663" spans="6:13" ht="13.2">
      <c r="F663" s="15"/>
      <c r="G663" s="15"/>
      <c r="H663" s="16"/>
      <c r="I663" s="16"/>
      <c r="J663" s="11"/>
      <c r="K663" s="11"/>
      <c r="L663" s="13"/>
      <c r="M663" s="13"/>
    </row>
    <row r="664" spans="6:13" ht="13.2">
      <c r="F664" s="15"/>
      <c r="G664" s="15"/>
      <c r="H664" s="16"/>
      <c r="I664" s="16"/>
      <c r="J664" s="11"/>
      <c r="K664" s="11"/>
      <c r="L664" s="13"/>
      <c r="M664" s="13"/>
    </row>
    <row r="665" spans="6:13" ht="13.2">
      <c r="F665" s="15"/>
      <c r="G665" s="15"/>
      <c r="H665" s="16"/>
      <c r="I665" s="16"/>
      <c r="J665" s="11"/>
      <c r="K665" s="11"/>
      <c r="L665" s="13"/>
      <c r="M665" s="13"/>
    </row>
    <row r="666" spans="6:13" ht="13.2">
      <c r="F666" s="15"/>
      <c r="G666" s="15"/>
      <c r="H666" s="16"/>
      <c r="I666" s="16"/>
      <c r="J666" s="11"/>
      <c r="K666" s="11"/>
      <c r="L666" s="13"/>
      <c r="M666" s="13"/>
    </row>
    <row r="667" spans="6:13" ht="13.2">
      <c r="F667" s="15"/>
      <c r="G667" s="15"/>
      <c r="H667" s="16"/>
      <c r="I667" s="16"/>
      <c r="J667" s="11"/>
      <c r="K667" s="11"/>
      <c r="L667" s="13"/>
      <c r="M667" s="13"/>
    </row>
    <row r="668" spans="6:13" ht="13.2">
      <c r="F668" s="15"/>
      <c r="G668" s="15"/>
      <c r="H668" s="16"/>
      <c r="I668" s="16"/>
      <c r="J668" s="11"/>
      <c r="K668" s="11"/>
      <c r="L668" s="13"/>
      <c r="M668" s="13"/>
    </row>
    <row r="669" spans="6:13" ht="13.2">
      <c r="F669" s="15"/>
      <c r="G669" s="15"/>
      <c r="H669" s="16"/>
      <c r="I669" s="16"/>
      <c r="J669" s="11"/>
      <c r="K669" s="11"/>
      <c r="L669" s="13"/>
      <c r="M669" s="13"/>
    </row>
    <row r="670" spans="6:13" ht="13.2">
      <c r="F670" s="15"/>
      <c r="G670" s="15"/>
      <c r="H670" s="16"/>
      <c r="I670" s="16"/>
      <c r="J670" s="11"/>
      <c r="K670" s="11"/>
      <c r="L670" s="13"/>
      <c r="M670" s="13"/>
    </row>
    <row r="671" spans="6:13" ht="13.2">
      <c r="F671" s="15"/>
      <c r="G671" s="15"/>
      <c r="H671" s="16"/>
      <c r="I671" s="16"/>
      <c r="J671" s="11"/>
      <c r="K671" s="11"/>
      <c r="L671" s="13"/>
      <c r="M671" s="13"/>
    </row>
    <row r="672" spans="6:13" ht="13.2">
      <c r="F672" s="15"/>
      <c r="G672" s="15"/>
      <c r="H672" s="16"/>
      <c r="I672" s="16"/>
      <c r="J672" s="11"/>
      <c r="K672" s="11"/>
      <c r="L672" s="13"/>
      <c r="M672" s="13"/>
    </row>
    <row r="673" spans="6:13" ht="13.2">
      <c r="F673" s="15"/>
      <c r="G673" s="15"/>
      <c r="H673" s="16"/>
      <c r="I673" s="16"/>
      <c r="J673" s="11"/>
      <c r="K673" s="11"/>
      <c r="L673" s="13"/>
      <c r="M673" s="13"/>
    </row>
    <row r="674" spans="6:13" ht="13.2">
      <c r="F674" s="15"/>
      <c r="G674" s="15"/>
      <c r="H674" s="16"/>
      <c r="I674" s="16"/>
      <c r="J674" s="11"/>
      <c r="K674" s="11"/>
      <c r="L674" s="13"/>
      <c r="M674" s="13"/>
    </row>
    <row r="675" spans="6:13" ht="13.2">
      <c r="F675" s="15"/>
      <c r="G675" s="15"/>
      <c r="H675" s="16"/>
      <c r="I675" s="16"/>
      <c r="J675" s="11"/>
      <c r="K675" s="11"/>
      <c r="L675" s="13"/>
      <c r="M675" s="13"/>
    </row>
    <row r="676" spans="6:13" ht="13.2">
      <c r="F676" s="15"/>
      <c r="G676" s="15"/>
      <c r="H676" s="16"/>
      <c r="I676" s="16"/>
      <c r="J676" s="11"/>
      <c r="K676" s="11"/>
      <c r="L676" s="13"/>
      <c r="M676" s="13"/>
    </row>
    <row r="677" spans="6:13" ht="13.2">
      <c r="F677" s="15"/>
      <c r="G677" s="15"/>
      <c r="H677" s="16"/>
      <c r="I677" s="16"/>
      <c r="J677" s="11"/>
      <c r="K677" s="11"/>
      <c r="L677" s="13"/>
      <c r="M677" s="13"/>
    </row>
    <row r="678" spans="6:13" ht="13.2">
      <c r="F678" s="15"/>
      <c r="G678" s="15"/>
      <c r="H678" s="16"/>
      <c r="I678" s="16"/>
      <c r="J678" s="11"/>
      <c r="K678" s="11"/>
      <c r="L678" s="13"/>
      <c r="M678" s="13"/>
    </row>
    <row r="679" spans="6:13" ht="13.2">
      <c r="F679" s="15"/>
      <c r="G679" s="15"/>
      <c r="H679" s="16"/>
      <c r="I679" s="16"/>
      <c r="J679" s="11"/>
      <c r="K679" s="11"/>
      <c r="L679" s="13"/>
      <c r="M679" s="13"/>
    </row>
    <row r="680" spans="6:13" ht="13.2">
      <c r="F680" s="15"/>
      <c r="G680" s="15"/>
      <c r="H680" s="16"/>
      <c r="I680" s="16"/>
      <c r="J680" s="11"/>
      <c r="K680" s="11"/>
      <c r="L680" s="13"/>
      <c r="M680" s="13"/>
    </row>
    <row r="681" spans="6:13" ht="13.2">
      <c r="F681" s="15"/>
      <c r="G681" s="15"/>
      <c r="H681" s="16"/>
      <c r="I681" s="16"/>
      <c r="J681" s="11"/>
      <c r="K681" s="11"/>
      <c r="L681" s="13"/>
      <c r="M681" s="13"/>
    </row>
    <row r="682" spans="6:13" ht="13.2">
      <c r="F682" s="15"/>
      <c r="G682" s="15"/>
      <c r="H682" s="16"/>
      <c r="I682" s="16"/>
      <c r="J682" s="11"/>
      <c r="K682" s="11"/>
      <c r="L682" s="13"/>
      <c r="M682" s="13"/>
    </row>
    <row r="683" spans="6:13" ht="13.2">
      <c r="F683" s="15"/>
      <c r="G683" s="15"/>
      <c r="H683" s="16"/>
      <c r="I683" s="16"/>
      <c r="J683" s="11"/>
      <c r="K683" s="11"/>
      <c r="L683" s="13"/>
      <c r="M683" s="13"/>
    </row>
    <row r="684" spans="6:13" ht="13.2">
      <c r="F684" s="15"/>
      <c r="G684" s="15"/>
      <c r="H684" s="16"/>
      <c r="I684" s="16"/>
      <c r="J684" s="11"/>
      <c r="K684" s="11"/>
      <c r="L684" s="13"/>
      <c r="M684" s="13"/>
    </row>
    <row r="685" spans="6:13" ht="13.2">
      <c r="F685" s="15"/>
      <c r="G685" s="15"/>
      <c r="H685" s="16"/>
      <c r="I685" s="16"/>
      <c r="J685" s="11"/>
      <c r="K685" s="11"/>
      <c r="L685" s="13"/>
      <c r="M685" s="13"/>
    </row>
    <row r="686" spans="6:13" ht="13.2">
      <c r="F686" s="15"/>
      <c r="G686" s="15"/>
      <c r="H686" s="16"/>
      <c r="I686" s="16"/>
      <c r="J686" s="11"/>
      <c r="K686" s="11"/>
      <c r="L686" s="13"/>
      <c r="M686" s="13"/>
    </row>
    <row r="687" spans="6:13" ht="13.2">
      <c r="F687" s="15"/>
      <c r="G687" s="15"/>
      <c r="H687" s="16"/>
      <c r="I687" s="16"/>
      <c r="J687" s="11"/>
      <c r="K687" s="11"/>
      <c r="L687" s="13"/>
      <c r="M687" s="13"/>
    </row>
    <row r="688" spans="6:13" ht="13.2">
      <c r="F688" s="15"/>
      <c r="G688" s="15"/>
      <c r="H688" s="16"/>
      <c r="I688" s="16"/>
      <c r="J688" s="11"/>
      <c r="K688" s="11"/>
      <c r="L688" s="13"/>
      <c r="M688" s="13"/>
    </row>
    <row r="689" spans="6:13" ht="13.2">
      <c r="F689" s="15"/>
      <c r="G689" s="15"/>
      <c r="H689" s="16"/>
      <c r="I689" s="16"/>
      <c r="J689" s="11"/>
      <c r="K689" s="11"/>
      <c r="L689" s="13"/>
      <c r="M689" s="13"/>
    </row>
    <row r="690" spans="6:13" ht="13.2">
      <c r="F690" s="15"/>
      <c r="G690" s="15"/>
      <c r="H690" s="16"/>
      <c r="I690" s="16"/>
      <c r="J690" s="11"/>
      <c r="K690" s="11"/>
      <c r="L690" s="13"/>
      <c r="M690" s="13"/>
    </row>
    <row r="691" spans="6:13" ht="13.2">
      <c r="F691" s="15"/>
      <c r="G691" s="15"/>
      <c r="H691" s="16"/>
      <c r="I691" s="16"/>
      <c r="J691" s="11"/>
      <c r="K691" s="11"/>
      <c r="L691" s="13"/>
      <c r="M691" s="13"/>
    </row>
    <row r="692" spans="6:13" ht="13.2">
      <c r="F692" s="15"/>
      <c r="G692" s="15"/>
      <c r="H692" s="16"/>
      <c r="I692" s="16"/>
      <c r="J692" s="11"/>
      <c r="K692" s="11"/>
      <c r="L692" s="13"/>
      <c r="M692" s="13"/>
    </row>
    <row r="693" spans="6:13" ht="13.2">
      <c r="F693" s="15"/>
      <c r="G693" s="15"/>
      <c r="H693" s="16"/>
      <c r="I693" s="16"/>
      <c r="J693" s="11"/>
      <c r="K693" s="11"/>
      <c r="L693" s="13"/>
      <c r="M693" s="13"/>
    </row>
    <row r="694" spans="6:13" ht="13.2">
      <c r="F694" s="15"/>
      <c r="G694" s="15"/>
      <c r="H694" s="16"/>
      <c r="I694" s="16"/>
      <c r="J694" s="11"/>
      <c r="K694" s="11"/>
      <c r="L694" s="13"/>
      <c r="M694" s="13"/>
    </row>
    <row r="695" spans="6:13" ht="13.2">
      <c r="F695" s="15"/>
      <c r="G695" s="15"/>
      <c r="H695" s="16"/>
      <c r="I695" s="16"/>
      <c r="J695" s="11"/>
      <c r="K695" s="11"/>
      <c r="L695" s="13"/>
      <c r="M695" s="13"/>
    </row>
    <row r="696" spans="6:13" ht="13.2">
      <c r="F696" s="15"/>
      <c r="G696" s="15"/>
      <c r="H696" s="16"/>
      <c r="I696" s="16"/>
      <c r="J696" s="11"/>
      <c r="K696" s="11"/>
      <c r="L696" s="13"/>
      <c r="M696" s="13"/>
    </row>
    <row r="697" spans="6:13" ht="13.2">
      <c r="F697" s="15"/>
      <c r="G697" s="15"/>
      <c r="H697" s="16"/>
      <c r="I697" s="16"/>
      <c r="J697" s="11"/>
      <c r="K697" s="11"/>
      <c r="L697" s="13"/>
      <c r="M697" s="13"/>
    </row>
    <row r="698" spans="6:13" ht="13.2">
      <c r="F698" s="15"/>
      <c r="G698" s="15"/>
      <c r="H698" s="16"/>
      <c r="I698" s="16"/>
      <c r="J698" s="11"/>
      <c r="K698" s="11"/>
      <c r="L698" s="13"/>
      <c r="M698" s="13"/>
    </row>
    <row r="699" spans="6:13" ht="13.2">
      <c r="F699" s="15"/>
      <c r="G699" s="15"/>
      <c r="H699" s="16"/>
      <c r="I699" s="16"/>
      <c r="J699" s="11"/>
      <c r="K699" s="11"/>
      <c r="L699" s="13"/>
      <c r="M699" s="13"/>
    </row>
    <row r="700" spans="6:13" ht="13.2">
      <c r="F700" s="15"/>
      <c r="G700" s="15"/>
      <c r="H700" s="16"/>
      <c r="I700" s="16"/>
      <c r="J700" s="11"/>
      <c r="K700" s="11"/>
      <c r="L700" s="13"/>
      <c r="M700" s="13"/>
    </row>
    <row r="701" spans="6:13" ht="13.2">
      <c r="F701" s="15"/>
      <c r="G701" s="15"/>
      <c r="H701" s="16"/>
      <c r="I701" s="16"/>
      <c r="J701" s="11"/>
      <c r="K701" s="11"/>
      <c r="L701" s="13"/>
      <c r="M701" s="13"/>
    </row>
    <row r="702" spans="6:13" ht="13.2">
      <c r="F702" s="15"/>
      <c r="G702" s="15"/>
      <c r="H702" s="16"/>
      <c r="I702" s="16"/>
      <c r="J702" s="11"/>
      <c r="K702" s="11"/>
      <c r="L702" s="13"/>
      <c r="M702" s="13"/>
    </row>
    <row r="703" spans="6:13" ht="13.2">
      <c r="F703" s="15"/>
      <c r="G703" s="15"/>
      <c r="H703" s="16"/>
      <c r="I703" s="16"/>
      <c r="J703" s="11"/>
      <c r="K703" s="11"/>
      <c r="L703" s="13"/>
      <c r="M703" s="13"/>
    </row>
    <row r="704" spans="6:13" ht="13.2">
      <c r="F704" s="15"/>
      <c r="G704" s="15"/>
      <c r="H704" s="16"/>
      <c r="I704" s="16"/>
      <c r="J704" s="11"/>
      <c r="K704" s="11"/>
      <c r="L704" s="13"/>
      <c r="M704" s="13"/>
    </row>
    <row r="705" spans="6:13" ht="13.2">
      <c r="F705" s="15"/>
      <c r="G705" s="15"/>
      <c r="H705" s="16"/>
      <c r="I705" s="16"/>
      <c r="J705" s="11"/>
      <c r="K705" s="11"/>
      <c r="L705" s="13"/>
      <c r="M705" s="13"/>
    </row>
    <row r="706" spans="6:13" ht="13.2">
      <c r="F706" s="15"/>
      <c r="G706" s="15"/>
      <c r="H706" s="16"/>
      <c r="I706" s="16"/>
      <c r="J706" s="11"/>
      <c r="K706" s="11"/>
      <c r="L706" s="13"/>
      <c r="M706" s="13"/>
    </row>
    <row r="707" spans="6:13" ht="13.2">
      <c r="F707" s="15"/>
      <c r="G707" s="15"/>
      <c r="H707" s="16"/>
      <c r="I707" s="16"/>
      <c r="J707" s="11"/>
      <c r="K707" s="11"/>
      <c r="L707" s="13"/>
      <c r="M707" s="13"/>
    </row>
    <row r="708" spans="6:13" ht="13.2">
      <c r="F708" s="15"/>
      <c r="G708" s="15"/>
      <c r="H708" s="16"/>
      <c r="I708" s="16"/>
      <c r="J708" s="11"/>
      <c r="K708" s="11"/>
      <c r="L708" s="13"/>
      <c r="M708" s="13"/>
    </row>
    <row r="709" spans="6:13" ht="13.2">
      <c r="F709" s="15"/>
      <c r="G709" s="15"/>
      <c r="H709" s="16"/>
      <c r="I709" s="16"/>
      <c r="J709" s="11"/>
      <c r="K709" s="11"/>
      <c r="L709" s="13"/>
      <c r="M709" s="13"/>
    </row>
    <row r="710" spans="6:13" ht="13.2">
      <c r="F710" s="15"/>
      <c r="G710" s="15"/>
      <c r="H710" s="16"/>
      <c r="I710" s="16"/>
      <c r="J710" s="11"/>
      <c r="K710" s="11"/>
      <c r="L710" s="13"/>
      <c r="M710" s="13"/>
    </row>
    <row r="711" spans="6:13" ht="13.2">
      <c r="F711" s="15"/>
      <c r="G711" s="15"/>
      <c r="H711" s="16"/>
      <c r="I711" s="16"/>
      <c r="J711" s="11"/>
      <c r="K711" s="11"/>
      <c r="L711" s="13"/>
      <c r="M711" s="13"/>
    </row>
    <row r="712" spans="6:13" ht="13.2">
      <c r="F712" s="15"/>
      <c r="G712" s="15"/>
      <c r="H712" s="16"/>
      <c r="I712" s="16"/>
      <c r="J712" s="11"/>
      <c r="K712" s="11"/>
      <c r="L712" s="13"/>
      <c r="M712" s="13"/>
    </row>
    <row r="713" spans="6:13" ht="13.2">
      <c r="F713" s="15"/>
      <c r="G713" s="15"/>
      <c r="H713" s="16"/>
      <c r="I713" s="16"/>
      <c r="J713" s="11"/>
      <c r="K713" s="11"/>
      <c r="L713" s="13"/>
      <c r="M713" s="13"/>
    </row>
    <row r="714" spans="6:13" ht="13.2">
      <c r="F714" s="15"/>
      <c r="G714" s="15"/>
      <c r="H714" s="16"/>
      <c r="I714" s="16"/>
      <c r="J714" s="11"/>
      <c r="K714" s="11"/>
      <c r="L714" s="13"/>
      <c r="M714" s="13"/>
    </row>
    <row r="715" spans="6:13" ht="13.2">
      <c r="F715" s="15"/>
      <c r="G715" s="15"/>
      <c r="H715" s="16"/>
      <c r="I715" s="16"/>
      <c r="J715" s="11"/>
      <c r="K715" s="11"/>
      <c r="L715" s="13"/>
      <c r="M715" s="13"/>
    </row>
    <row r="716" spans="6:13" ht="13.2">
      <c r="F716" s="15"/>
      <c r="G716" s="15"/>
      <c r="H716" s="16"/>
      <c r="I716" s="16"/>
      <c r="J716" s="11"/>
      <c r="K716" s="11"/>
      <c r="L716" s="13"/>
      <c r="M716" s="13"/>
    </row>
    <row r="717" spans="6:13" ht="13.2">
      <c r="F717" s="15"/>
      <c r="G717" s="15"/>
      <c r="H717" s="16"/>
      <c r="I717" s="16"/>
      <c r="J717" s="11"/>
      <c r="K717" s="11"/>
      <c r="L717" s="13"/>
      <c r="M717" s="13"/>
    </row>
    <row r="718" spans="6:13" ht="13.2">
      <c r="F718" s="15"/>
      <c r="G718" s="15"/>
      <c r="H718" s="16"/>
      <c r="I718" s="16"/>
      <c r="J718" s="11"/>
      <c r="K718" s="11"/>
      <c r="L718" s="13"/>
      <c r="M718" s="13"/>
    </row>
    <row r="719" spans="6:13" ht="13.2">
      <c r="F719" s="15"/>
      <c r="G719" s="15"/>
      <c r="H719" s="16"/>
      <c r="I719" s="16"/>
      <c r="J719" s="11"/>
      <c r="K719" s="11"/>
      <c r="L719" s="13"/>
      <c r="M719" s="13"/>
    </row>
    <row r="720" spans="6:13" ht="13.2">
      <c r="F720" s="15"/>
      <c r="G720" s="15"/>
      <c r="H720" s="16"/>
      <c r="I720" s="16"/>
      <c r="J720" s="11"/>
      <c r="K720" s="11"/>
      <c r="L720" s="13"/>
      <c r="M720" s="13"/>
    </row>
    <row r="721" spans="6:13" ht="13.2">
      <c r="F721" s="15"/>
      <c r="G721" s="15"/>
      <c r="H721" s="16"/>
      <c r="I721" s="16"/>
      <c r="J721" s="11"/>
      <c r="K721" s="11"/>
      <c r="L721" s="13"/>
      <c r="M721" s="13"/>
    </row>
    <row r="722" spans="6:13" ht="13.2">
      <c r="F722" s="15"/>
      <c r="G722" s="15"/>
      <c r="H722" s="16"/>
      <c r="I722" s="16"/>
      <c r="J722" s="11"/>
      <c r="K722" s="11"/>
      <c r="L722" s="13"/>
      <c r="M722" s="13"/>
    </row>
    <row r="723" spans="6:13" ht="13.2">
      <c r="F723" s="15"/>
      <c r="G723" s="15"/>
      <c r="H723" s="16"/>
      <c r="I723" s="16"/>
      <c r="J723" s="11"/>
      <c r="K723" s="11"/>
      <c r="L723" s="13"/>
      <c r="M723" s="13"/>
    </row>
    <row r="724" spans="6:13" ht="13.2">
      <c r="F724" s="15"/>
      <c r="G724" s="15"/>
      <c r="H724" s="16"/>
      <c r="I724" s="16"/>
      <c r="J724" s="11"/>
      <c r="K724" s="11"/>
      <c r="L724" s="13"/>
      <c r="M724" s="13"/>
    </row>
    <row r="725" spans="6:13" ht="13.2">
      <c r="F725" s="15"/>
      <c r="G725" s="15"/>
      <c r="H725" s="16"/>
      <c r="I725" s="16"/>
      <c r="J725" s="11"/>
      <c r="K725" s="11"/>
      <c r="L725" s="13"/>
      <c r="M725" s="13"/>
    </row>
    <row r="726" spans="6:13" ht="13.2">
      <c r="F726" s="15"/>
      <c r="G726" s="15"/>
      <c r="H726" s="16"/>
      <c r="I726" s="16"/>
      <c r="J726" s="11"/>
      <c r="K726" s="11"/>
      <c r="L726" s="13"/>
      <c r="M726" s="13"/>
    </row>
    <row r="727" spans="6:13" ht="13.2">
      <c r="F727" s="15"/>
      <c r="G727" s="15"/>
      <c r="H727" s="16"/>
      <c r="I727" s="16"/>
      <c r="J727" s="11"/>
      <c r="K727" s="11"/>
      <c r="L727" s="13"/>
      <c r="M727" s="13"/>
    </row>
    <row r="728" spans="6:13" ht="13.2">
      <c r="F728" s="15"/>
      <c r="G728" s="15"/>
      <c r="H728" s="16"/>
      <c r="I728" s="16"/>
      <c r="J728" s="11"/>
      <c r="K728" s="11"/>
      <c r="L728" s="13"/>
      <c r="M728" s="13"/>
    </row>
    <row r="729" spans="6:13" ht="13.2">
      <c r="F729" s="15"/>
      <c r="G729" s="15"/>
      <c r="H729" s="16"/>
      <c r="I729" s="16"/>
      <c r="J729" s="11"/>
      <c r="K729" s="11"/>
      <c r="L729" s="13"/>
      <c r="M729" s="13"/>
    </row>
    <row r="730" spans="6:13" ht="13.2">
      <c r="F730" s="15"/>
      <c r="G730" s="15"/>
      <c r="H730" s="16"/>
      <c r="I730" s="16"/>
      <c r="J730" s="11"/>
      <c r="K730" s="11"/>
      <c r="L730" s="13"/>
      <c r="M730" s="13"/>
    </row>
    <row r="731" spans="6:13" ht="13.2">
      <c r="F731" s="15"/>
      <c r="G731" s="15"/>
      <c r="H731" s="16"/>
      <c r="I731" s="16"/>
      <c r="J731" s="11"/>
      <c r="K731" s="11"/>
      <c r="L731" s="13"/>
      <c r="M731" s="13"/>
    </row>
    <row r="732" spans="6:13" ht="13.2">
      <c r="F732" s="15"/>
      <c r="G732" s="15"/>
      <c r="H732" s="16"/>
      <c r="I732" s="16"/>
      <c r="J732" s="11"/>
      <c r="K732" s="11"/>
      <c r="L732" s="13"/>
      <c r="M732" s="13"/>
    </row>
    <row r="733" spans="6:13" ht="13.2">
      <c r="F733" s="15"/>
      <c r="G733" s="15"/>
      <c r="H733" s="16"/>
      <c r="I733" s="16"/>
      <c r="J733" s="11"/>
      <c r="K733" s="11"/>
      <c r="L733" s="13"/>
      <c r="M733" s="13"/>
    </row>
    <row r="734" spans="6:13" ht="13.2">
      <c r="F734" s="15"/>
      <c r="G734" s="15"/>
      <c r="H734" s="16"/>
      <c r="I734" s="16"/>
      <c r="J734" s="11"/>
      <c r="K734" s="11"/>
      <c r="L734" s="13"/>
      <c r="M734" s="13"/>
    </row>
    <row r="735" spans="6:13" ht="13.2">
      <c r="F735" s="15"/>
      <c r="G735" s="15"/>
      <c r="H735" s="16"/>
      <c r="I735" s="16"/>
      <c r="J735" s="11"/>
      <c r="K735" s="11"/>
      <c r="L735" s="13"/>
      <c r="M735" s="13"/>
    </row>
    <row r="736" spans="6:13" ht="13.2">
      <c r="F736" s="15"/>
      <c r="G736" s="15"/>
      <c r="H736" s="16"/>
      <c r="I736" s="16"/>
      <c r="J736" s="11"/>
      <c r="K736" s="11"/>
      <c r="L736" s="13"/>
      <c r="M736" s="13"/>
    </row>
    <row r="737" spans="6:13" ht="13.2">
      <c r="F737" s="15"/>
      <c r="G737" s="15"/>
      <c r="H737" s="16"/>
      <c r="I737" s="16"/>
      <c r="J737" s="11"/>
      <c r="K737" s="11"/>
      <c r="L737" s="13"/>
      <c r="M737" s="13"/>
    </row>
    <row r="738" spans="6:13" ht="13.2">
      <c r="F738" s="15"/>
      <c r="G738" s="15"/>
      <c r="H738" s="16"/>
      <c r="I738" s="16"/>
      <c r="J738" s="11"/>
      <c r="K738" s="11"/>
      <c r="L738" s="13"/>
      <c r="M738" s="13"/>
    </row>
    <row r="739" spans="6:13" ht="13.2">
      <c r="F739" s="15"/>
      <c r="G739" s="15"/>
      <c r="H739" s="16"/>
      <c r="I739" s="16"/>
      <c r="J739" s="11"/>
      <c r="K739" s="11"/>
      <c r="L739" s="13"/>
      <c r="M739" s="13"/>
    </row>
    <row r="740" spans="6:13" ht="13.2">
      <c r="F740" s="15"/>
      <c r="G740" s="15"/>
      <c r="H740" s="16"/>
      <c r="I740" s="16"/>
      <c r="J740" s="11"/>
      <c r="K740" s="11"/>
      <c r="L740" s="13"/>
      <c r="M740" s="13"/>
    </row>
    <row r="741" spans="6:13" ht="13.2">
      <c r="F741" s="15"/>
      <c r="G741" s="15"/>
      <c r="H741" s="16"/>
      <c r="I741" s="16"/>
      <c r="J741" s="11"/>
      <c r="K741" s="11"/>
      <c r="L741" s="13"/>
      <c r="M741" s="13"/>
    </row>
    <row r="742" spans="6:13" ht="13.2">
      <c r="F742" s="15"/>
      <c r="G742" s="15"/>
      <c r="H742" s="16"/>
      <c r="I742" s="16"/>
      <c r="J742" s="11"/>
      <c r="K742" s="11"/>
      <c r="L742" s="13"/>
      <c r="M742" s="13"/>
    </row>
    <row r="743" spans="6:13" ht="13.2">
      <c r="F743" s="15"/>
      <c r="G743" s="15"/>
      <c r="H743" s="16"/>
      <c r="I743" s="16"/>
      <c r="J743" s="11"/>
      <c r="K743" s="11"/>
      <c r="L743" s="13"/>
      <c r="M743" s="13"/>
    </row>
    <row r="744" spans="6:13" ht="13.2">
      <c r="F744" s="15"/>
      <c r="G744" s="15"/>
      <c r="H744" s="16"/>
      <c r="I744" s="16"/>
      <c r="J744" s="11"/>
      <c r="K744" s="11"/>
      <c r="L744" s="13"/>
      <c r="M744" s="13"/>
    </row>
    <row r="745" spans="6:13" ht="13.2">
      <c r="F745" s="15"/>
      <c r="G745" s="15"/>
      <c r="H745" s="16"/>
      <c r="I745" s="16"/>
      <c r="J745" s="11"/>
      <c r="K745" s="11"/>
      <c r="L745" s="13"/>
      <c r="M745" s="13"/>
    </row>
    <row r="746" spans="6:13" ht="13.2">
      <c r="F746" s="15"/>
      <c r="G746" s="15"/>
      <c r="H746" s="16"/>
      <c r="I746" s="16"/>
      <c r="J746" s="11"/>
      <c r="K746" s="11"/>
      <c r="L746" s="13"/>
      <c r="M746" s="13"/>
    </row>
    <row r="747" spans="6:13" ht="13.2">
      <c r="F747" s="15"/>
      <c r="G747" s="15"/>
      <c r="H747" s="16"/>
      <c r="I747" s="16"/>
      <c r="J747" s="11"/>
      <c r="K747" s="11"/>
      <c r="L747" s="13"/>
      <c r="M747" s="13"/>
    </row>
    <row r="748" spans="6:13" ht="13.2">
      <c r="F748" s="15"/>
      <c r="G748" s="15"/>
      <c r="H748" s="16"/>
      <c r="I748" s="16"/>
      <c r="J748" s="11"/>
      <c r="K748" s="11"/>
      <c r="L748" s="13"/>
      <c r="M748" s="13"/>
    </row>
    <row r="749" spans="6:13" ht="13.2">
      <c r="F749" s="15"/>
      <c r="G749" s="15"/>
      <c r="H749" s="16"/>
      <c r="I749" s="16"/>
      <c r="J749" s="11"/>
      <c r="K749" s="11"/>
      <c r="L749" s="13"/>
      <c r="M749" s="13"/>
    </row>
    <row r="750" spans="6:13" ht="13.2">
      <c r="F750" s="15"/>
      <c r="G750" s="15"/>
      <c r="H750" s="16"/>
      <c r="I750" s="16"/>
      <c r="J750" s="11"/>
      <c r="K750" s="11"/>
      <c r="L750" s="13"/>
      <c r="M750" s="13"/>
    </row>
    <row r="751" spans="6:13" ht="13.2">
      <c r="F751" s="15"/>
      <c r="G751" s="15"/>
      <c r="H751" s="16"/>
      <c r="I751" s="16"/>
      <c r="J751" s="11"/>
      <c r="K751" s="11"/>
      <c r="L751" s="13"/>
      <c r="M751" s="13"/>
    </row>
    <row r="752" spans="6:13" ht="13.2">
      <c r="F752" s="15"/>
      <c r="G752" s="15"/>
      <c r="H752" s="16"/>
      <c r="I752" s="16"/>
      <c r="J752" s="11"/>
      <c r="K752" s="11"/>
      <c r="L752" s="13"/>
      <c r="M752" s="13"/>
    </row>
    <row r="753" spans="6:13" ht="13.2">
      <c r="F753" s="15"/>
      <c r="G753" s="15"/>
      <c r="H753" s="16"/>
      <c r="I753" s="16"/>
      <c r="J753" s="11"/>
      <c r="K753" s="11"/>
      <c r="L753" s="13"/>
      <c r="M753" s="13"/>
    </row>
    <row r="754" spans="6:13" ht="13.2">
      <c r="F754" s="15"/>
      <c r="G754" s="15"/>
      <c r="H754" s="16"/>
      <c r="I754" s="16"/>
      <c r="J754" s="11"/>
      <c r="K754" s="11"/>
      <c r="L754" s="13"/>
      <c r="M754" s="13"/>
    </row>
    <row r="755" spans="6:13" ht="13.2">
      <c r="F755" s="15"/>
      <c r="G755" s="15"/>
      <c r="H755" s="16"/>
      <c r="I755" s="16"/>
      <c r="J755" s="11"/>
      <c r="K755" s="11"/>
      <c r="L755" s="13"/>
      <c r="M755" s="13"/>
    </row>
    <row r="756" spans="6:13" ht="13.2">
      <c r="F756" s="15"/>
      <c r="G756" s="15"/>
      <c r="H756" s="16"/>
      <c r="I756" s="16"/>
      <c r="J756" s="11"/>
      <c r="K756" s="11"/>
      <c r="L756" s="13"/>
      <c r="M756" s="13"/>
    </row>
    <row r="757" spans="6:13" ht="13.2">
      <c r="F757" s="15"/>
      <c r="G757" s="15"/>
      <c r="H757" s="16"/>
      <c r="I757" s="16"/>
      <c r="J757" s="11"/>
      <c r="K757" s="11"/>
      <c r="L757" s="13"/>
      <c r="M757" s="13"/>
    </row>
    <row r="758" spans="6:13" ht="13.2">
      <c r="F758" s="15"/>
      <c r="G758" s="15"/>
      <c r="H758" s="16"/>
      <c r="I758" s="16"/>
      <c r="J758" s="11"/>
      <c r="K758" s="11"/>
      <c r="L758" s="13"/>
      <c r="M758" s="13"/>
    </row>
    <row r="759" spans="6:13" ht="13.2">
      <c r="F759" s="15"/>
      <c r="G759" s="15"/>
      <c r="H759" s="16"/>
      <c r="I759" s="16"/>
      <c r="J759" s="11"/>
      <c r="K759" s="11"/>
      <c r="L759" s="13"/>
      <c r="M759" s="13"/>
    </row>
    <row r="760" spans="6:13" ht="13.2">
      <c r="F760" s="15"/>
      <c r="G760" s="15"/>
      <c r="H760" s="16"/>
      <c r="I760" s="16"/>
      <c r="J760" s="11"/>
      <c r="K760" s="11"/>
      <c r="L760" s="13"/>
      <c r="M760" s="13"/>
    </row>
    <row r="761" spans="6:13" ht="13.2">
      <c r="F761" s="15"/>
      <c r="G761" s="15"/>
      <c r="H761" s="16"/>
      <c r="I761" s="16"/>
      <c r="J761" s="11"/>
      <c r="K761" s="11"/>
      <c r="L761" s="13"/>
      <c r="M761" s="13"/>
    </row>
    <row r="762" spans="6:13" ht="13.2">
      <c r="F762" s="15"/>
      <c r="G762" s="15"/>
      <c r="H762" s="16"/>
      <c r="I762" s="16"/>
      <c r="J762" s="11"/>
      <c r="K762" s="11"/>
      <c r="L762" s="13"/>
      <c r="M762" s="13"/>
    </row>
    <row r="763" spans="6:13" ht="13.2">
      <c r="F763" s="15"/>
      <c r="G763" s="15"/>
      <c r="H763" s="16"/>
      <c r="I763" s="16"/>
      <c r="J763" s="11"/>
      <c r="K763" s="11"/>
      <c r="L763" s="13"/>
      <c r="M763" s="13"/>
    </row>
    <row r="764" spans="6:13" ht="13.2">
      <c r="F764" s="15"/>
      <c r="G764" s="15"/>
      <c r="H764" s="16"/>
      <c r="I764" s="16"/>
      <c r="J764" s="11"/>
      <c r="K764" s="11"/>
      <c r="L764" s="13"/>
      <c r="M764" s="13"/>
    </row>
    <row r="765" spans="6:13" ht="13.2">
      <c r="F765" s="15"/>
      <c r="G765" s="15"/>
      <c r="H765" s="16"/>
      <c r="I765" s="16"/>
      <c r="J765" s="11"/>
      <c r="K765" s="11"/>
      <c r="L765" s="13"/>
      <c r="M765" s="13"/>
    </row>
    <row r="766" spans="6:13" ht="13.2">
      <c r="F766" s="15"/>
      <c r="G766" s="15"/>
      <c r="H766" s="16"/>
      <c r="I766" s="16"/>
      <c r="J766" s="11"/>
      <c r="K766" s="11"/>
      <c r="L766" s="13"/>
      <c r="M766" s="13"/>
    </row>
    <row r="767" spans="6:13" ht="13.2">
      <c r="F767" s="15"/>
      <c r="G767" s="15"/>
      <c r="H767" s="16"/>
      <c r="I767" s="16"/>
      <c r="J767" s="11"/>
      <c r="K767" s="11"/>
      <c r="L767" s="13"/>
      <c r="M767" s="13"/>
    </row>
    <row r="768" spans="6:13" ht="13.2">
      <c r="F768" s="15"/>
      <c r="G768" s="15"/>
      <c r="H768" s="16"/>
      <c r="I768" s="16"/>
      <c r="J768" s="11"/>
      <c r="K768" s="11"/>
      <c r="L768" s="13"/>
      <c r="M768" s="13"/>
    </row>
    <row r="769" spans="6:13" ht="13.2">
      <c r="F769" s="15"/>
      <c r="G769" s="15"/>
      <c r="H769" s="16"/>
      <c r="I769" s="16"/>
      <c r="J769" s="11"/>
      <c r="K769" s="11"/>
      <c r="L769" s="13"/>
      <c r="M769" s="13"/>
    </row>
    <row r="770" spans="6:13" ht="13.2">
      <c r="F770" s="15"/>
      <c r="G770" s="15"/>
      <c r="H770" s="16"/>
      <c r="I770" s="16"/>
      <c r="J770" s="11"/>
      <c r="K770" s="11"/>
      <c r="L770" s="13"/>
      <c r="M770" s="13"/>
    </row>
    <row r="771" spans="6:13" ht="13.2">
      <c r="F771" s="15"/>
      <c r="G771" s="15"/>
      <c r="H771" s="16"/>
      <c r="I771" s="16"/>
      <c r="J771" s="11"/>
      <c r="K771" s="11"/>
      <c r="L771" s="13"/>
      <c r="M771" s="13"/>
    </row>
    <row r="772" spans="6:13" ht="13.2">
      <c r="F772" s="15"/>
      <c r="G772" s="15"/>
      <c r="H772" s="16"/>
      <c r="I772" s="16"/>
      <c r="J772" s="11"/>
      <c r="K772" s="11"/>
      <c r="L772" s="13"/>
      <c r="M772" s="13"/>
    </row>
    <row r="773" spans="6:13" ht="13.2">
      <c r="F773" s="15"/>
      <c r="G773" s="15"/>
      <c r="H773" s="16"/>
      <c r="I773" s="16"/>
      <c r="J773" s="11"/>
      <c r="K773" s="11"/>
      <c r="L773" s="13"/>
      <c r="M773" s="13"/>
    </row>
    <row r="774" spans="6:13" ht="13.2">
      <c r="F774" s="15"/>
      <c r="G774" s="15"/>
      <c r="H774" s="16"/>
      <c r="I774" s="16"/>
      <c r="J774" s="11"/>
      <c r="K774" s="11"/>
      <c r="L774" s="13"/>
      <c r="M774" s="13"/>
    </row>
    <row r="775" spans="6:13" ht="13.2">
      <c r="F775" s="15"/>
      <c r="G775" s="15"/>
      <c r="H775" s="16"/>
      <c r="I775" s="16"/>
      <c r="J775" s="11"/>
      <c r="K775" s="11"/>
      <c r="L775" s="13"/>
      <c r="M775" s="13"/>
    </row>
    <row r="776" spans="6:13" ht="13.2">
      <c r="F776" s="15"/>
      <c r="G776" s="15"/>
      <c r="H776" s="16"/>
      <c r="I776" s="16"/>
      <c r="J776" s="11"/>
      <c r="K776" s="11"/>
      <c r="L776" s="13"/>
      <c r="M776" s="13"/>
    </row>
    <row r="777" spans="6:13" ht="13.2">
      <c r="F777" s="15"/>
      <c r="G777" s="15"/>
      <c r="H777" s="16"/>
      <c r="I777" s="16"/>
      <c r="J777" s="11"/>
      <c r="K777" s="11"/>
      <c r="L777" s="13"/>
      <c r="M777" s="13"/>
    </row>
    <row r="778" spans="6:13" ht="13.2">
      <c r="F778" s="15"/>
      <c r="G778" s="15"/>
      <c r="H778" s="16"/>
      <c r="I778" s="16"/>
      <c r="J778" s="11"/>
      <c r="K778" s="11"/>
      <c r="L778" s="13"/>
      <c r="M778" s="13"/>
    </row>
    <row r="779" spans="6:13" ht="13.2">
      <c r="F779" s="15"/>
      <c r="G779" s="15"/>
      <c r="H779" s="16"/>
      <c r="I779" s="16"/>
      <c r="J779" s="11"/>
      <c r="K779" s="11"/>
      <c r="L779" s="13"/>
      <c r="M779" s="13"/>
    </row>
    <row r="780" spans="6:13" ht="13.2">
      <c r="F780" s="15"/>
      <c r="G780" s="15"/>
      <c r="H780" s="16"/>
      <c r="I780" s="16"/>
      <c r="J780" s="11"/>
      <c r="K780" s="11"/>
      <c r="L780" s="13"/>
      <c r="M780" s="13"/>
    </row>
    <row r="781" spans="6:13" ht="13.2">
      <c r="F781" s="15"/>
      <c r="G781" s="15"/>
      <c r="H781" s="16"/>
      <c r="I781" s="16"/>
      <c r="J781" s="11"/>
      <c r="K781" s="11"/>
      <c r="L781" s="13"/>
      <c r="M781" s="13"/>
    </row>
    <row r="782" spans="6:13" ht="13.2">
      <c r="F782" s="15"/>
      <c r="G782" s="15"/>
      <c r="H782" s="16"/>
      <c r="I782" s="16"/>
      <c r="J782" s="11"/>
      <c r="K782" s="11"/>
      <c r="L782" s="13"/>
      <c r="M782" s="13"/>
    </row>
    <row r="783" spans="6:13" ht="13.2">
      <c r="F783" s="15"/>
      <c r="G783" s="15"/>
      <c r="H783" s="16"/>
      <c r="I783" s="16"/>
      <c r="J783" s="11"/>
      <c r="K783" s="11"/>
      <c r="L783" s="13"/>
      <c r="M783" s="13"/>
    </row>
    <row r="784" spans="6:13" ht="13.2">
      <c r="F784" s="15"/>
      <c r="G784" s="15"/>
      <c r="H784" s="16"/>
      <c r="I784" s="16"/>
      <c r="J784" s="11"/>
      <c r="K784" s="11"/>
      <c r="L784" s="13"/>
      <c r="M784" s="13"/>
    </row>
    <row r="785" spans="6:13" ht="13.2">
      <c r="F785" s="15"/>
      <c r="G785" s="15"/>
      <c r="H785" s="16"/>
      <c r="I785" s="16"/>
      <c r="J785" s="11"/>
      <c r="K785" s="11"/>
      <c r="L785" s="13"/>
      <c r="M785" s="13"/>
    </row>
    <row r="786" spans="6:13" ht="13.2">
      <c r="F786" s="15"/>
      <c r="G786" s="15"/>
      <c r="H786" s="16"/>
      <c r="I786" s="16"/>
      <c r="J786" s="11"/>
      <c r="K786" s="11"/>
      <c r="L786" s="13"/>
      <c r="M786" s="13"/>
    </row>
    <row r="787" spans="6:13" ht="13.2">
      <c r="F787" s="15"/>
      <c r="G787" s="15"/>
      <c r="H787" s="16"/>
      <c r="I787" s="16"/>
      <c r="J787" s="11"/>
      <c r="K787" s="11"/>
      <c r="L787" s="13"/>
      <c r="M787" s="13"/>
    </row>
    <row r="788" spans="6:13" ht="13.2">
      <c r="F788" s="15"/>
      <c r="G788" s="15"/>
      <c r="H788" s="16"/>
      <c r="I788" s="16"/>
      <c r="J788" s="11"/>
      <c r="K788" s="11"/>
      <c r="L788" s="13"/>
      <c r="M788" s="13"/>
    </row>
    <row r="789" spans="6:13" ht="13.2">
      <c r="F789" s="15"/>
      <c r="G789" s="15"/>
      <c r="H789" s="16"/>
      <c r="I789" s="16"/>
      <c r="J789" s="11"/>
      <c r="K789" s="11"/>
      <c r="L789" s="13"/>
      <c r="M789" s="13"/>
    </row>
    <row r="790" spans="6:13" ht="13.2">
      <c r="F790" s="15"/>
      <c r="G790" s="15"/>
      <c r="H790" s="16"/>
      <c r="I790" s="16"/>
      <c r="J790" s="11"/>
      <c r="K790" s="11"/>
      <c r="L790" s="13"/>
      <c r="M790" s="13"/>
    </row>
    <row r="791" spans="6:13" ht="13.2">
      <c r="F791" s="15"/>
      <c r="G791" s="15"/>
      <c r="H791" s="16"/>
      <c r="I791" s="16"/>
      <c r="J791" s="11"/>
      <c r="K791" s="11"/>
      <c r="L791" s="13"/>
      <c r="M791" s="13"/>
    </row>
    <row r="792" spans="6:13" ht="13.2">
      <c r="F792" s="15"/>
      <c r="G792" s="15"/>
      <c r="H792" s="16"/>
      <c r="I792" s="16"/>
      <c r="J792" s="11"/>
      <c r="K792" s="11"/>
      <c r="L792" s="13"/>
      <c r="M792" s="13"/>
    </row>
    <row r="793" spans="6:13" ht="13.2">
      <c r="F793" s="15"/>
      <c r="G793" s="15"/>
      <c r="H793" s="16"/>
      <c r="I793" s="16"/>
      <c r="J793" s="11"/>
      <c r="K793" s="11"/>
      <c r="L793" s="13"/>
      <c r="M793" s="13"/>
    </row>
    <row r="794" spans="6:13" ht="13.2">
      <c r="F794" s="15"/>
      <c r="G794" s="15"/>
      <c r="H794" s="16"/>
      <c r="I794" s="16"/>
      <c r="J794" s="11"/>
      <c r="K794" s="11"/>
      <c r="L794" s="13"/>
      <c r="M794" s="13"/>
    </row>
    <row r="795" spans="6:13" ht="13.2">
      <c r="F795" s="15"/>
      <c r="G795" s="15"/>
      <c r="H795" s="16"/>
      <c r="I795" s="16"/>
      <c r="J795" s="11"/>
      <c r="K795" s="11"/>
      <c r="L795" s="13"/>
      <c r="M795" s="13"/>
    </row>
    <row r="796" spans="6:13" ht="13.2">
      <c r="F796" s="15"/>
      <c r="G796" s="15"/>
      <c r="H796" s="16"/>
      <c r="I796" s="16"/>
      <c r="J796" s="11"/>
      <c r="K796" s="11"/>
      <c r="L796" s="13"/>
      <c r="M796" s="13"/>
    </row>
    <row r="797" spans="6:13" ht="13.2">
      <c r="F797" s="15"/>
      <c r="G797" s="15"/>
      <c r="H797" s="16"/>
      <c r="I797" s="16"/>
      <c r="J797" s="11"/>
      <c r="K797" s="11"/>
      <c r="L797" s="13"/>
      <c r="M797" s="13"/>
    </row>
    <row r="798" spans="6:13" ht="13.2">
      <c r="F798" s="15"/>
      <c r="G798" s="15"/>
      <c r="H798" s="16"/>
      <c r="I798" s="16"/>
      <c r="J798" s="11"/>
      <c r="K798" s="11"/>
      <c r="L798" s="13"/>
      <c r="M798" s="13"/>
    </row>
    <row r="799" spans="6:13" ht="13.2">
      <c r="F799" s="15"/>
      <c r="G799" s="15"/>
      <c r="H799" s="16"/>
      <c r="I799" s="16"/>
      <c r="J799" s="11"/>
      <c r="K799" s="11"/>
      <c r="L799" s="13"/>
      <c r="M799" s="13"/>
    </row>
    <row r="800" spans="6:13" ht="13.2">
      <c r="F800" s="15"/>
      <c r="G800" s="15"/>
      <c r="H800" s="16"/>
      <c r="I800" s="16"/>
      <c r="J800" s="11"/>
      <c r="K800" s="11"/>
      <c r="L800" s="13"/>
      <c r="M800" s="13"/>
    </row>
    <row r="801" spans="6:13" ht="13.2">
      <c r="F801" s="15"/>
      <c r="G801" s="15"/>
      <c r="H801" s="16"/>
      <c r="I801" s="16"/>
      <c r="J801" s="11"/>
      <c r="K801" s="11"/>
      <c r="L801" s="13"/>
      <c r="M801" s="13"/>
    </row>
    <row r="802" spans="6:13" ht="13.2">
      <c r="F802" s="15"/>
      <c r="G802" s="15"/>
      <c r="H802" s="16"/>
      <c r="I802" s="16"/>
      <c r="J802" s="11"/>
      <c r="K802" s="11"/>
      <c r="L802" s="13"/>
      <c r="M802" s="13"/>
    </row>
    <row r="803" spans="6:13" ht="13.2">
      <c r="F803" s="15"/>
      <c r="G803" s="15"/>
      <c r="H803" s="16"/>
      <c r="I803" s="16"/>
      <c r="J803" s="11"/>
      <c r="K803" s="11"/>
      <c r="L803" s="13"/>
      <c r="M803" s="13"/>
    </row>
    <row r="804" spans="6:13" ht="13.2">
      <c r="F804" s="15"/>
      <c r="G804" s="15"/>
      <c r="H804" s="16"/>
      <c r="I804" s="16"/>
      <c r="J804" s="11"/>
      <c r="K804" s="11"/>
      <c r="L804" s="13"/>
      <c r="M804" s="13"/>
    </row>
    <row r="805" spans="6:13" ht="13.2">
      <c r="F805" s="15"/>
      <c r="G805" s="15"/>
      <c r="H805" s="16"/>
      <c r="I805" s="16"/>
      <c r="J805" s="11"/>
      <c r="K805" s="11"/>
      <c r="L805" s="13"/>
      <c r="M805" s="13"/>
    </row>
    <row r="806" spans="6:13" ht="13.2">
      <c r="F806" s="15"/>
      <c r="G806" s="15"/>
      <c r="H806" s="16"/>
      <c r="I806" s="16"/>
      <c r="J806" s="11"/>
      <c r="K806" s="11"/>
      <c r="L806" s="13"/>
      <c r="M806" s="13"/>
    </row>
    <row r="807" spans="6:13" ht="13.2">
      <c r="F807" s="15"/>
      <c r="G807" s="15"/>
      <c r="H807" s="16"/>
      <c r="I807" s="16"/>
      <c r="J807" s="11"/>
      <c r="K807" s="11"/>
      <c r="L807" s="13"/>
      <c r="M807" s="13"/>
    </row>
    <row r="808" spans="6:13" ht="13.2">
      <c r="F808" s="15"/>
      <c r="G808" s="15"/>
      <c r="H808" s="16"/>
      <c r="I808" s="16"/>
      <c r="J808" s="11"/>
      <c r="K808" s="11"/>
      <c r="L808" s="13"/>
      <c r="M808" s="13"/>
    </row>
    <row r="809" spans="6:13" ht="13.2">
      <c r="F809" s="15"/>
      <c r="G809" s="15"/>
      <c r="H809" s="16"/>
      <c r="I809" s="16"/>
      <c r="J809" s="11"/>
      <c r="K809" s="11"/>
      <c r="L809" s="13"/>
      <c r="M809" s="13"/>
    </row>
    <row r="810" spans="6:13" ht="13.2">
      <c r="F810" s="15"/>
      <c r="G810" s="15"/>
      <c r="H810" s="16"/>
      <c r="I810" s="16"/>
      <c r="J810" s="11"/>
      <c r="K810" s="11"/>
      <c r="L810" s="13"/>
      <c r="M810" s="13"/>
    </row>
    <row r="811" spans="6:13" ht="13.2">
      <c r="F811" s="15"/>
      <c r="G811" s="15"/>
      <c r="H811" s="16"/>
      <c r="I811" s="16"/>
      <c r="J811" s="11"/>
      <c r="K811" s="11"/>
      <c r="L811" s="13"/>
      <c r="M811" s="13"/>
    </row>
    <row r="812" spans="6:13" ht="13.2">
      <c r="F812" s="15"/>
      <c r="G812" s="15"/>
      <c r="H812" s="16"/>
      <c r="I812" s="16"/>
      <c r="J812" s="11"/>
      <c r="K812" s="11"/>
      <c r="L812" s="13"/>
      <c r="M812" s="13"/>
    </row>
    <row r="813" spans="6:13" ht="13.2">
      <c r="F813" s="15"/>
      <c r="G813" s="15"/>
      <c r="H813" s="16"/>
      <c r="I813" s="16"/>
      <c r="J813" s="11"/>
      <c r="K813" s="11"/>
      <c r="L813" s="13"/>
      <c r="M813" s="13"/>
    </row>
    <row r="814" spans="6:13" ht="13.2">
      <c r="F814" s="15"/>
      <c r="G814" s="15"/>
      <c r="H814" s="16"/>
      <c r="I814" s="16"/>
      <c r="J814" s="11"/>
      <c r="K814" s="11"/>
      <c r="L814" s="13"/>
      <c r="M814" s="13"/>
    </row>
    <row r="815" spans="6:13" ht="13.2">
      <c r="F815" s="15"/>
      <c r="G815" s="15"/>
      <c r="H815" s="16"/>
      <c r="I815" s="16"/>
      <c r="J815" s="11"/>
      <c r="K815" s="11"/>
      <c r="L815" s="13"/>
      <c r="M815" s="13"/>
    </row>
    <row r="816" spans="6:13" ht="13.2">
      <c r="F816" s="15"/>
      <c r="G816" s="15"/>
      <c r="H816" s="16"/>
      <c r="I816" s="16"/>
      <c r="J816" s="11"/>
      <c r="K816" s="11"/>
      <c r="L816" s="13"/>
      <c r="M816" s="13"/>
    </row>
    <row r="817" spans="6:13" ht="13.2">
      <c r="F817" s="15"/>
      <c r="G817" s="15"/>
      <c r="H817" s="16"/>
      <c r="I817" s="16"/>
      <c r="J817" s="11"/>
      <c r="K817" s="11"/>
      <c r="L817" s="13"/>
      <c r="M817" s="13"/>
    </row>
    <row r="818" spans="6:13" ht="13.2">
      <c r="F818" s="15"/>
      <c r="G818" s="15"/>
      <c r="H818" s="16"/>
      <c r="I818" s="16"/>
      <c r="J818" s="11"/>
      <c r="K818" s="11"/>
      <c r="L818" s="13"/>
      <c r="M818" s="13"/>
    </row>
    <row r="819" spans="6:13" ht="13.2">
      <c r="F819" s="15"/>
      <c r="G819" s="15"/>
      <c r="H819" s="16"/>
      <c r="I819" s="16"/>
      <c r="J819" s="11"/>
      <c r="K819" s="11"/>
      <c r="L819" s="13"/>
      <c r="M819" s="13"/>
    </row>
    <row r="820" spans="6:13" ht="13.2">
      <c r="F820" s="15"/>
      <c r="G820" s="15"/>
      <c r="H820" s="16"/>
      <c r="I820" s="16"/>
      <c r="J820" s="11"/>
      <c r="K820" s="11"/>
      <c r="L820" s="13"/>
      <c r="M820" s="13"/>
    </row>
    <row r="821" spans="6:13" ht="13.2">
      <c r="F821" s="15"/>
      <c r="G821" s="15"/>
      <c r="H821" s="16"/>
      <c r="I821" s="16"/>
      <c r="J821" s="11"/>
      <c r="K821" s="11"/>
      <c r="L821" s="13"/>
      <c r="M821" s="13"/>
    </row>
    <row r="822" spans="6:13" ht="13.2">
      <c r="F822" s="15"/>
      <c r="G822" s="15"/>
      <c r="H822" s="16"/>
      <c r="I822" s="16"/>
      <c r="J822" s="11"/>
      <c r="K822" s="11"/>
      <c r="L822" s="13"/>
      <c r="M822" s="13"/>
    </row>
    <row r="823" spans="6:13" ht="13.2">
      <c r="F823" s="15"/>
      <c r="G823" s="15"/>
      <c r="H823" s="16"/>
      <c r="I823" s="16"/>
      <c r="J823" s="11"/>
      <c r="K823" s="11"/>
      <c r="L823" s="13"/>
      <c r="M823" s="13"/>
    </row>
    <row r="824" spans="6:13" ht="13.2">
      <c r="F824" s="15"/>
      <c r="G824" s="15"/>
      <c r="H824" s="16"/>
      <c r="I824" s="16"/>
      <c r="J824" s="11"/>
      <c r="K824" s="11"/>
      <c r="L824" s="13"/>
      <c r="M824" s="13"/>
    </row>
    <row r="825" spans="6:13" ht="13.2">
      <c r="F825" s="15"/>
      <c r="G825" s="15"/>
      <c r="H825" s="16"/>
      <c r="I825" s="16"/>
      <c r="J825" s="11"/>
      <c r="K825" s="11"/>
      <c r="L825" s="13"/>
      <c r="M825" s="13"/>
    </row>
    <row r="826" spans="6:13" ht="13.2">
      <c r="F826" s="15"/>
      <c r="G826" s="15"/>
      <c r="H826" s="16"/>
      <c r="I826" s="16"/>
      <c r="J826" s="11"/>
      <c r="K826" s="11"/>
      <c r="L826" s="13"/>
      <c r="M826" s="13"/>
    </row>
    <row r="827" spans="6:13" ht="13.2">
      <c r="F827" s="15"/>
      <c r="G827" s="15"/>
      <c r="H827" s="16"/>
      <c r="I827" s="16"/>
      <c r="J827" s="11"/>
      <c r="K827" s="11"/>
      <c r="L827" s="13"/>
      <c r="M827" s="13"/>
    </row>
    <row r="828" spans="6:13" ht="13.2">
      <c r="F828" s="15"/>
      <c r="G828" s="15"/>
      <c r="H828" s="16"/>
      <c r="I828" s="16"/>
      <c r="J828" s="11"/>
      <c r="K828" s="11"/>
      <c r="L828" s="13"/>
      <c r="M828" s="13"/>
    </row>
    <row r="829" spans="6:13" ht="13.2">
      <c r="F829" s="15"/>
      <c r="G829" s="15"/>
      <c r="H829" s="16"/>
      <c r="I829" s="16"/>
      <c r="J829" s="11"/>
      <c r="K829" s="11"/>
      <c r="L829" s="13"/>
      <c r="M829" s="13"/>
    </row>
    <row r="830" spans="6:13" ht="13.2">
      <c r="F830" s="15"/>
      <c r="G830" s="15"/>
      <c r="H830" s="16"/>
      <c r="I830" s="16"/>
      <c r="J830" s="11"/>
      <c r="K830" s="11"/>
      <c r="L830" s="13"/>
      <c r="M830" s="13"/>
    </row>
    <row r="831" spans="6:13" ht="13.2">
      <c r="F831" s="15"/>
      <c r="G831" s="15"/>
      <c r="H831" s="16"/>
      <c r="I831" s="16"/>
      <c r="J831" s="11"/>
      <c r="K831" s="11"/>
      <c r="L831" s="13"/>
      <c r="M831" s="13"/>
    </row>
    <row r="832" spans="6:13" ht="13.2">
      <c r="F832" s="15"/>
      <c r="G832" s="15"/>
      <c r="H832" s="16"/>
      <c r="I832" s="16"/>
      <c r="J832" s="11"/>
      <c r="K832" s="11"/>
      <c r="L832" s="13"/>
      <c r="M832" s="13"/>
    </row>
    <row r="833" spans="6:13" ht="13.2">
      <c r="F833" s="15"/>
      <c r="G833" s="15"/>
      <c r="H833" s="16"/>
      <c r="I833" s="16"/>
      <c r="J833" s="11"/>
      <c r="K833" s="11"/>
      <c r="L833" s="13"/>
      <c r="M833" s="13"/>
    </row>
    <row r="834" spans="6:13" ht="13.2">
      <c r="F834" s="15"/>
      <c r="G834" s="15"/>
      <c r="H834" s="16"/>
      <c r="I834" s="16"/>
      <c r="J834" s="11"/>
      <c r="K834" s="11"/>
      <c r="L834" s="13"/>
      <c r="M834" s="13"/>
    </row>
    <row r="835" spans="6:13" ht="13.2">
      <c r="F835" s="15"/>
      <c r="G835" s="15"/>
      <c r="H835" s="16"/>
      <c r="I835" s="16"/>
      <c r="J835" s="11"/>
      <c r="K835" s="11"/>
      <c r="L835" s="13"/>
      <c r="M835" s="13"/>
    </row>
    <row r="836" spans="6:13" ht="13.2">
      <c r="F836" s="15"/>
      <c r="G836" s="15"/>
      <c r="H836" s="16"/>
      <c r="I836" s="16"/>
      <c r="J836" s="11"/>
      <c r="K836" s="11"/>
      <c r="L836" s="13"/>
      <c r="M836" s="13"/>
    </row>
    <row r="837" spans="6:13" ht="13.2">
      <c r="F837" s="15"/>
      <c r="G837" s="15"/>
      <c r="H837" s="16"/>
      <c r="I837" s="16"/>
      <c r="J837" s="11"/>
      <c r="K837" s="11"/>
      <c r="L837" s="13"/>
      <c r="M837" s="13"/>
    </row>
    <row r="838" spans="6:13" ht="13.2">
      <c r="F838" s="15"/>
      <c r="G838" s="15"/>
      <c r="H838" s="16"/>
      <c r="I838" s="16"/>
      <c r="J838" s="11"/>
      <c r="K838" s="11"/>
      <c r="L838" s="13"/>
      <c r="M838" s="13"/>
    </row>
    <row r="839" spans="6:13" ht="13.2">
      <c r="F839" s="15"/>
      <c r="G839" s="15"/>
      <c r="H839" s="16"/>
      <c r="I839" s="16"/>
      <c r="J839" s="11"/>
      <c r="K839" s="11"/>
      <c r="L839" s="13"/>
      <c r="M839" s="13"/>
    </row>
    <row r="840" spans="6:13" ht="13.2">
      <c r="F840" s="15"/>
      <c r="G840" s="15"/>
      <c r="H840" s="16"/>
      <c r="I840" s="16"/>
      <c r="J840" s="11"/>
      <c r="K840" s="11"/>
      <c r="L840" s="13"/>
      <c r="M840" s="13"/>
    </row>
    <row r="841" spans="6:13" ht="13.2">
      <c r="F841" s="15"/>
      <c r="G841" s="15"/>
      <c r="H841" s="16"/>
      <c r="I841" s="16"/>
      <c r="J841" s="11"/>
      <c r="K841" s="11"/>
      <c r="L841" s="13"/>
      <c r="M841" s="13"/>
    </row>
    <row r="842" spans="6:13" ht="13.2">
      <c r="F842" s="15"/>
      <c r="G842" s="15"/>
      <c r="H842" s="16"/>
      <c r="I842" s="16"/>
      <c r="J842" s="11"/>
      <c r="K842" s="11"/>
      <c r="L842" s="13"/>
      <c r="M842" s="13"/>
    </row>
    <row r="843" spans="6:13" ht="13.2">
      <c r="F843" s="15"/>
      <c r="G843" s="15"/>
      <c r="H843" s="16"/>
      <c r="I843" s="16"/>
      <c r="J843" s="11"/>
      <c r="K843" s="11"/>
      <c r="L843" s="13"/>
      <c r="M843" s="13"/>
    </row>
    <row r="844" spans="6:13" ht="13.2">
      <c r="F844" s="15"/>
      <c r="G844" s="15"/>
      <c r="H844" s="16"/>
      <c r="I844" s="16"/>
      <c r="J844" s="11"/>
      <c r="K844" s="11"/>
      <c r="L844" s="13"/>
      <c r="M844" s="13"/>
    </row>
    <row r="845" spans="6:13" ht="13.2">
      <c r="F845" s="15"/>
      <c r="G845" s="15"/>
      <c r="H845" s="16"/>
      <c r="I845" s="16"/>
      <c r="J845" s="11"/>
      <c r="K845" s="11"/>
      <c r="L845" s="13"/>
      <c r="M845" s="13"/>
    </row>
    <row r="846" spans="6:13" ht="13.2">
      <c r="F846" s="15"/>
      <c r="G846" s="15"/>
      <c r="H846" s="16"/>
      <c r="I846" s="16"/>
      <c r="J846" s="11"/>
      <c r="K846" s="11"/>
      <c r="L846" s="13"/>
      <c r="M846" s="13"/>
    </row>
    <row r="847" spans="6:13" ht="13.2">
      <c r="F847" s="15"/>
      <c r="G847" s="15"/>
      <c r="H847" s="16"/>
      <c r="I847" s="16"/>
      <c r="J847" s="11"/>
      <c r="K847" s="11"/>
      <c r="L847" s="13"/>
      <c r="M847" s="13"/>
    </row>
    <row r="848" spans="6:13" ht="13.2">
      <c r="F848" s="15"/>
      <c r="G848" s="15"/>
      <c r="H848" s="16"/>
      <c r="I848" s="16"/>
      <c r="J848" s="11"/>
      <c r="K848" s="11"/>
      <c r="L848" s="13"/>
      <c r="M848" s="13"/>
    </row>
    <row r="849" spans="6:13" ht="13.2">
      <c r="F849" s="15"/>
      <c r="G849" s="15"/>
      <c r="H849" s="16"/>
      <c r="I849" s="16"/>
      <c r="J849" s="11"/>
      <c r="K849" s="11"/>
      <c r="L849" s="13"/>
      <c r="M849" s="13"/>
    </row>
    <row r="850" spans="6:13" ht="13.2">
      <c r="F850" s="15"/>
      <c r="G850" s="15"/>
      <c r="H850" s="16"/>
      <c r="I850" s="16"/>
      <c r="J850" s="11"/>
      <c r="K850" s="11"/>
      <c r="L850" s="13"/>
      <c r="M850" s="13"/>
    </row>
    <row r="851" spans="6:13" ht="13.2">
      <c r="F851" s="15"/>
      <c r="G851" s="15"/>
      <c r="H851" s="16"/>
      <c r="I851" s="16"/>
      <c r="J851" s="11"/>
      <c r="K851" s="11"/>
      <c r="L851" s="13"/>
      <c r="M851" s="13"/>
    </row>
    <row r="852" spans="6:13" ht="13.2">
      <c r="F852" s="15"/>
      <c r="G852" s="15"/>
      <c r="H852" s="16"/>
      <c r="I852" s="16"/>
      <c r="J852" s="11"/>
      <c r="K852" s="11"/>
      <c r="L852" s="13"/>
      <c r="M852" s="13"/>
    </row>
    <row r="853" spans="6:13" ht="13.2">
      <c r="F853" s="15"/>
      <c r="G853" s="15"/>
      <c r="H853" s="16"/>
      <c r="I853" s="16"/>
      <c r="J853" s="11"/>
      <c r="K853" s="11"/>
      <c r="L853" s="13"/>
      <c r="M853" s="13"/>
    </row>
    <row r="854" spans="6:13" ht="13.2">
      <c r="F854" s="15"/>
      <c r="G854" s="15"/>
      <c r="H854" s="16"/>
      <c r="I854" s="16"/>
      <c r="J854" s="11"/>
      <c r="K854" s="11"/>
      <c r="L854" s="13"/>
      <c r="M854" s="13"/>
    </row>
    <row r="855" spans="6:13" ht="13.2">
      <c r="F855" s="15"/>
      <c r="G855" s="15"/>
      <c r="H855" s="16"/>
      <c r="I855" s="16"/>
      <c r="J855" s="11"/>
      <c r="K855" s="11"/>
      <c r="L855" s="13"/>
      <c r="M855" s="13"/>
    </row>
    <row r="856" spans="6:13" ht="13.2">
      <c r="F856" s="15"/>
      <c r="G856" s="15"/>
      <c r="H856" s="16"/>
      <c r="I856" s="16"/>
      <c r="J856" s="11"/>
      <c r="K856" s="11"/>
      <c r="L856" s="13"/>
      <c r="M856" s="13"/>
    </row>
    <row r="857" spans="6:13" ht="13.2">
      <c r="F857" s="15"/>
      <c r="G857" s="15"/>
      <c r="H857" s="16"/>
      <c r="I857" s="16"/>
      <c r="J857" s="11"/>
      <c r="K857" s="11"/>
      <c r="L857" s="13"/>
      <c r="M857" s="13"/>
    </row>
    <row r="858" spans="6:13" ht="13.2">
      <c r="F858" s="15"/>
      <c r="G858" s="15"/>
      <c r="H858" s="16"/>
      <c r="I858" s="16"/>
      <c r="J858" s="11"/>
      <c r="K858" s="11"/>
      <c r="L858" s="13"/>
      <c r="M858" s="13"/>
    </row>
    <row r="859" spans="6:13" ht="13.2">
      <c r="F859" s="15"/>
      <c r="G859" s="15"/>
      <c r="H859" s="16"/>
      <c r="I859" s="16"/>
      <c r="J859" s="11"/>
      <c r="K859" s="11"/>
      <c r="L859" s="13"/>
      <c r="M859" s="13"/>
    </row>
    <row r="860" spans="6:13" ht="13.2">
      <c r="F860" s="15"/>
      <c r="G860" s="15"/>
      <c r="H860" s="16"/>
      <c r="I860" s="16"/>
      <c r="J860" s="11"/>
      <c r="K860" s="11"/>
      <c r="L860" s="13"/>
      <c r="M860" s="13"/>
    </row>
    <row r="861" spans="6:13" ht="13.2">
      <c r="F861" s="15"/>
      <c r="G861" s="15"/>
      <c r="H861" s="16"/>
      <c r="I861" s="16"/>
      <c r="J861" s="11"/>
      <c r="K861" s="11"/>
      <c r="L861" s="13"/>
      <c r="M861" s="13"/>
    </row>
    <row r="862" spans="6:13" ht="13.2">
      <c r="F862" s="15"/>
      <c r="G862" s="15"/>
      <c r="H862" s="16"/>
      <c r="I862" s="16"/>
      <c r="J862" s="11"/>
      <c r="K862" s="11"/>
      <c r="L862" s="13"/>
      <c r="M862" s="13"/>
    </row>
    <row r="863" spans="6:13" ht="13.2">
      <c r="F863" s="15"/>
      <c r="G863" s="15"/>
      <c r="H863" s="16"/>
      <c r="I863" s="16"/>
      <c r="J863" s="11"/>
      <c r="K863" s="11"/>
      <c r="L863" s="13"/>
      <c r="M863" s="13"/>
    </row>
    <row r="864" spans="6:13" ht="13.2">
      <c r="F864" s="15"/>
      <c r="G864" s="15"/>
      <c r="H864" s="16"/>
      <c r="I864" s="16"/>
      <c r="J864" s="11"/>
      <c r="K864" s="11"/>
      <c r="L864" s="13"/>
      <c r="M864" s="13"/>
    </row>
    <row r="865" spans="6:13" ht="13.2">
      <c r="F865" s="15"/>
      <c r="G865" s="15"/>
      <c r="H865" s="16"/>
      <c r="I865" s="16"/>
      <c r="J865" s="11"/>
      <c r="K865" s="11"/>
      <c r="L865" s="13"/>
      <c r="M865" s="13"/>
    </row>
    <row r="866" spans="6:13" ht="13.2">
      <c r="F866" s="15"/>
      <c r="G866" s="15"/>
      <c r="H866" s="16"/>
      <c r="I866" s="16"/>
      <c r="J866" s="11"/>
      <c r="K866" s="11"/>
      <c r="L866" s="13"/>
      <c r="M866" s="13"/>
    </row>
    <row r="867" spans="6:13" ht="13.2">
      <c r="F867" s="15"/>
      <c r="G867" s="15"/>
      <c r="H867" s="16"/>
      <c r="I867" s="16"/>
      <c r="J867" s="11"/>
      <c r="K867" s="11"/>
      <c r="L867" s="13"/>
      <c r="M867" s="13"/>
    </row>
    <row r="868" spans="6:13" ht="13.2">
      <c r="F868" s="15"/>
      <c r="G868" s="15"/>
      <c r="H868" s="16"/>
      <c r="I868" s="16"/>
      <c r="J868" s="11"/>
      <c r="K868" s="11"/>
      <c r="L868" s="13"/>
      <c r="M868" s="13"/>
    </row>
    <row r="869" spans="6:13" ht="13.2">
      <c r="F869" s="15"/>
      <c r="G869" s="15"/>
      <c r="H869" s="16"/>
      <c r="I869" s="16"/>
      <c r="J869" s="11"/>
      <c r="K869" s="11"/>
      <c r="L869" s="13"/>
      <c r="M869" s="13"/>
    </row>
    <row r="870" spans="6:13" ht="13.2">
      <c r="F870" s="15"/>
      <c r="G870" s="15"/>
      <c r="H870" s="16"/>
      <c r="I870" s="16"/>
      <c r="J870" s="11"/>
      <c r="K870" s="11"/>
      <c r="L870" s="13"/>
      <c r="M870" s="13"/>
    </row>
    <row r="871" spans="6:13" ht="13.2">
      <c r="F871" s="15"/>
      <c r="G871" s="15"/>
      <c r="H871" s="16"/>
      <c r="I871" s="16"/>
      <c r="J871" s="11"/>
      <c r="K871" s="11"/>
      <c r="L871" s="13"/>
      <c r="M871" s="13"/>
    </row>
    <row r="872" spans="6:13" ht="13.2">
      <c r="F872" s="15"/>
      <c r="G872" s="15"/>
      <c r="H872" s="16"/>
      <c r="I872" s="16"/>
      <c r="J872" s="11"/>
      <c r="K872" s="11"/>
      <c r="L872" s="13"/>
      <c r="M872" s="13"/>
    </row>
    <row r="873" spans="6:13" ht="13.2">
      <c r="F873" s="15"/>
      <c r="G873" s="15"/>
      <c r="H873" s="16"/>
      <c r="I873" s="16"/>
      <c r="J873" s="11"/>
      <c r="K873" s="11"/>
      <c r="L873" s="13"/>
      <c r="M873" s="13"/>
    </row>
    <row r="874" spans="6:13" ht="13.2">
      <c r="F874" s="15"/>
      <c r="G874" s="15"/>
      <c r="H874" s="16"/>
      <c r="I874" s="16"/>
      <c r="J874" s="11"/>
      <c r="K874" s="11"/>
      <c r="L874" s="13"/>
      <c r="M874" s="13"/>
    </row>
    <row r="875" spans="6:13" ht="13.2">
      <c r="F875" s="15"/>
      <c r="G875" s="15"/>
      <c r="H875" s="16"/>
      <c r="I875" s="16"/>
      <c r="J875" s="11"/>
      <c r="K875" s="11"/>
      <c r="L875" s="13"/>
      <c r="M875" s="13"/>
    </row>
    <row r="876" spans="6:13" ht="13.2">
      <c r="F876" s="15"/>
      <c r="G876" s="15"/>
      <c r="H876" s="16"/>
      <c r="I876" s="16"/>
      <c r="J876" s="11"/>
      <c r="K876" s="11"/>
      <c r="L876" s="13"/>
      <c r="M876" s="13"/>
    </row>
    <row r="877" spans="6:13" ht="13.2">
      <c r="F877" s="15"/>
      <c r="G877" s="15"/>
      <c r="H877" s="16"/>
      <c r="I877" s="16"/>
      <c r="J877" s="11"/>
      <c r="K877" s="11"/>
      <c r="L877" s="13"/>
      <c r="M877" s="13"/>
    </row>
    <row r="878" spans="6:13" ht="13.2">
      <c r="F878" s="15"/>
      <c r="G878" s="15"/>
      <c r="H878" s="16"/>
      <c r="I878" s="16"/>
      <c r="J878" s="11"/>
      <c r="K878" s="11"/>
      <c r="L878" s="13"/>
      <c r="M878" s="13"/>
    </row>
    <row r="879" spans="6:13" ht="13.2">
      <c r="F879" s="15"/>
      <c r="G879" s="15"/>
      <c r="H879" s="16"/>
      <c r="I879" s="16"/>
      <c r="J879" s="11"/>
      <c r="K879" s="11"/>
      <c r="L879" s="13"/>
      <c r="M879" s="13"/>
    </row>
    <row r="880" spans="6:13" ht="13.2">
      <c r="F880" s="15"/>
      <c r="G880" s="15"/>
      <c r="H880" s="16"/>
      <c r="I880" s="16"/>
      <c r="J880" s="11"/>
      <c r="K880" s="11"/>
      <c r="L880" s="13"/>
      <c r="M880" s="13"/>
    </row>
    <row r="881" spans="6:13" ht="13.2">
      <c r="F881" s="15"/>
      <c r="G881" s="15"/>
      <c r="H881" s="16"/>
      <c r="I881" s="16"/>
      <c r="J881" s="11"/>
      <c r="K881" s="11"/>
      <c r="L881" s="13"/>
      <c r="M881" s="13"/>
    </row>
    <row r="882" spans="6:13" ht="13.2">
      <c r="F882" s="15"/>
      <c r="G882" s="15"/>
      <c r="H882" s="16"/>
      <c r="I882" s="16"/>
      <c r="J882" s="11"/>
      <c r="K882" s="11"/>
      <c r="L882" s="13"/>
      <c r="M882" s="13"/>
    </row>
    <row r="883" spans="6:13" ht="13.2">
      <c r="F883" s="15"/>
      <c r="G883" s="15"/>
      <c r="H883" s="16"/>
      <c r="I883" s="16"/>
      <c r="J883" s="11"/>
      <c r="K883" s="11"/>
      <c r="L883" s="13"/>
      <c r="M883" s="13"/>
    </row>
    <row r="884" spans="6:13" ht="13.2">
      <c r="F884" s="15"/>
      <c r="G884" s="15"/>
      <c r="H884" s="16"/>
      <c r="I884" s="16"/>
      <c r="J884" s="11"/>
      <c r="K884" s="11"/>
      <c r="L884" s="13"/>
      <c r="M884" s="13"/>
    </row>
    <row r="885" spans="6:13" ht="13.2">
      <c r="F885" s="15"/>
      <c r="G885" s="15"/>
      <c r="H885" s="16"/>
      <c r="I885" s="16"/>
      <c r="J885" s="11"/>
      <c r="K885" s="11"/>
      <c r="L885" s="13"/>
      <c r="M885" s="13"/>
    </row>
    <row r="886" spans="6:13" ht="13.2">
      <c r="F886" s="15"/>
      <c r="G886" s="15"/>
      <c r="H886" s="16"/>
      <c r="I886" s="16"/>
      <c r="J886" s="11"/>
      <c r="K886" s="11"/>
      <c r="L886" s="13"/>
      <c r="M886" s="13"/>
    </row>
    <row r="887" spans="6:13" ht="13.2">
      <c r="F887" s="15"/>
      <c r="G887" s="15"/>
      <c r="H887" s="16"/>
      <c r="I887" s="16"/>
      <c r="J887" s="11"/>
      <c r="K887" s="11"/>
      <c r="L887" s="13"/>
      <c r="M887" s="13"/>
    </row>
    <row r="888" spans="6:13" ht="13.2">
      <c r="F888" s="15"/>
      <c r="G888" s="15"/>
      <c r="H888" s="16"/>
      <c r="I888" s="16"/>
      <c r="J888" s="11"/>
      <c r="K888" s="11"/>
      <c r="L888" s="13"/>
      <c r="M888" s="13"/>
    </row>
    <row r="889" spans="6:13" ht="13.2">
      <c r="F889" s="15"/>
      <c r="G889" s="15"/>
      <c r="H889" s="16"/>
      <c r="I889" s="16"/>
      <c r="J889" s="11"/>
      <c r="K889" s="11"/>
      <c r="L889" s="13"/>
      <c r="M889" s="13"/>
    </row>
    <row r="890" spans="6:13" ht="13.2">
      <c r="F890" s="15"/>
      <c r="G890" s="15"/>
      <c r="H890" s="16"/>
      <c r="I890" s="16"/>
      <c r="J890" s="11"/>
      <c r="K890" s="11"/>
      <c r="L890" s="13"/>
      <c r="M890" s="13"/>
    </row>
    <row r="891" spans="6:13" ht="13.2">
      <c r="F891" s="15"/>
      <c r="G891" s="15"/>
      <c r="H891" s="16"/>
      <c r="I891" s="16"/>
      <c r="J891" s="11"/>
      <c r="K891" s="11"/>
      <c r="L891" s="13"/>
      <c r="M891" s="13"/>
    </row>
    <row r="892" spans="6:13" ht="13.2">
      <c r="F892" s="15"/>
      <c r="G892" s="15"/>
      <c r="H892" s="16"/>
      <c r="I892" s="16"/>
      <c r="J892" s="11"/>
      <c r="K892" s="11"/>
      <c r="L892" s="13"/>
      <c r="M892" s="13"/>
    </row>
    <row r="893" spans="6:13" ht="13.2">
      <c r="F893" s="15"/>
      <c r="G893" s="15"/>
      <c r="H893" s="16"/>
      <c r="I893" s="16"/>
      <c r="J893" s="11"/>
      <c r="K893" s="11"/>
      <c r="L893" s="13"/>
      <c r="M893" s="13"/>
    </row>
    <row r="894" spans="6:13" ht="13.2">
      <c r="F894" s="15"/>
      <c r="G894" s="15"/>
      <c r="H894" s="16"/>
      <c r="I894" s="16"/>
      <c r="J894" s="11"/>
      <c r="K894" s="11"/>
      <c r="L894" s="13"/>
      <c r="M894" s="13"/>
    </row>
    <row r="895" spans="6:13" ht="13.2">
      <c r="F895" s="15"/>
      <c r="G895" s="15"/>
      <c r="H895" s="16"/>
      <c r="I895" s="16"/>
      <c r="J895" s="11"/>
      <c r="K895" s="11"/>
      <c r="L895" s="13"/>
      <c r="M895" s="13"/>
    </row>
    <row r="896" spans="6:13" ht="13.2">
      <c r="F896" s="15"/>
      <c r="G896" s="15"/>
      <c r="H896" s="16"/>
      <c r="I896" s="16"/>
      <c r="J896" s="11"/>
      <c r="K896" s="11"/>
      <c r="L896" s="13"/>
      <c r="M896" s="13"/>
    </row>
    <row r="897" spans="6:13" ht="13.2">
      <c r="F897" s="15"/>
      <c r="G897" s="15"/>
      <c r="H897" s="16"/>
      <c r="I897" s="16"/>
      <c r="J897" s="11"/>
      <c r="K897" s="11"/>
      <c r="L897" s="13"/>
      <c r="M897" s="13"/>
    </row>
    <row r="898" spans="6:13" ht="13.2">
      <c r="F898" s="15"/>
      <c r="G898" s="15"/>
      <c r="H898" s="16"/>
      <c r="I898" s="16"/>
      <c r="J898" s="11"/>
      <c r="K898" s="11"/>
      <c r="L898" s="13"/>
      <c r="M898" s="13"/>
    </row>
    <row r="899" spans="6:13" ht="13.2">
      <c r="F899" s="15"/>
      <c r="G899" s="15"/>
      <c r="H899" s="16"/>
      <c r="I899" s="16"/>
      <c r="J899" s="11"/>
      <c r="K899" s="11"/>
      <c r="L899" s="13"/>
      <c r="M899" s="13"/>
    </row>
    <row r="900" spans="6:13" ht="13.2">
      <c r="F900" s="15"/>
      <c r="G900" s="15"/>
      <c r="H900" s="16"/>
      <c r="I900" s="16"/>
      <c r="J900" s="11"/>
      <c r="K900" s="11"/>
      <c r="L900" s="13"/>
      <c r="M900" s="13"/>
    </row>
    <row r="901" spans="6:13" ht="13.2">
      <c r="F901" s="15"/>
      <c r="G901" s="15"/>
      <c r="H901" s="16"/>
      <c r="I901" s="16"/>
      <c r="J901" s="11"/>
      <c r="K901" s="11"/>
      <c r="L901" s="13"/>
      <c r="M901" s="13"/>
    </row>
    <row r="902" spans="6:13" ht="13.2">
      <c r="F902" s="15"/>
      <c r="G902" s="15"/>
      <c r="H902" s="16"/>
      <c r="I902" s="16"/>
      <c r="J902" s="11"/>
      <c r="K902" s="11"/>
      <c r="L902" s="13"/>
      <c r="M902" s="13"/>
    </row>
    <row r="903" spans="6:13" ht="13.2">
      <c r="F903" s="15"/>
      <c r="G903" s="15"/>
      <c r="H903" s="16"/>
      <c r="I903" s="16"/>
      <c r="J903" s="11"/>
      <c r="K903" s="11"/>
      <c r="L903" s="13"/>
      <c r="M903" s="13"/>
    </row>
    <row r="904" spans="6:13" ht="13.2">
      <c r="F904" s="15"/>
      <c r="G904" s="15"/>
      <c r="H904" s="16"/>
      <c r="I904" s="16"/>
      <c r="J904" s="11"/>
      <c r="K904" s="11"/>
      <c r="L904" s="13"/>
      <c r="M904" s="13"/>
    </row>
    <row r="905" spans="6:13" ht="13.2">
      <c r="F905" s="15"/>
      <c r="G905" s="15"/>
      <c r="H905" s="16"/>
      <c r="I905" s="16"/>
      <c r="J905" s="11"/>
      <c r="K905" s="11"/>
      <c r="L905" s="13"/>
      <c r="M905" s="13"/>
    </row>
    <row r="906" spans="6:13" ht="13.2">
      <c r="F906" s="15"/>
      <c r="G906" s="15"/>
      <c r="H906" s="16"/>
      <c r="I906" s="16"/>
      <c r="J906" s="11"/>
      <c r="K906" s="11"/>
      <c r="L906" s="13"/>
      <c r="M906" s="13"/>
    </row>
    <row r="907" spans="6:13" ht="13.2">
      <c r="F907" s="15"/>
      <c r="G907" s="15"/>
      <c r="H907" s="16"/>
      <c r="I907" s="16"/>
      <c r="J907" s="11"/>
      <c r="K907" s="11"/>
      <c r="L907" s="13"/>
      <c r="M907" s="13"/>
    </row>
    <row r="908" spans="6:13" ht="13.2">
      <c r="F908" s="15"/>
      <c r="G908" s="15"/>
      <c r="H908" s="16"/>
      <c r="I908" s="16"/>
      <c r="J908" s="11"/>
      <c r="K908" s="11"/>
      <c r="L908" s="13"/>
      <c r="M908" s="13"/>
    </row>
    <row r="909" spans="6:13" ht="13.2">
      <c r="F909" s="15"/>
      <c r="G909" s="15"/>
      <c r="H909" s="16"/>
      <c r="I909" s="16"/>
      <c r="J909" s="11"/>
      <c r="K909" s="11"/>
      <c r="L909" s="13"/>
      <c r="M909" s="13"/>
    </row>
    <row r="910" spans="6:13" ht="13.2">
      <c r="F910" s="15"/>
      <c r="G910" s="15"/>
      <c r="H910" s="16"/>
      <c r="I910" s="16"/>
      <c r="J910" s="11"/>
      <c r="K910" s="11"/>
      <c r="L910" s="13"/>
      <c r="M910" s="13"/>
    </row>
    <row r="911" spans="6:13" ht="13.2">
      <c r="F911" s="15"/>
      <c r="G911" s="15"/>
      <c r="H911" s="16"/>
      <c r="I911" s="16"/>
      <c r="J911" s="11"/>
      <c r="K911" s="11"/>
      <c r="L911" s="13"/>
      <c r="M911" s="13"/>
    </row>
    <row r="912" spans="6:13" ht="13.2">
      <c r="F912" s="15"/>
      <c r="G912" s="15"/>
      <c r="H912" s="16"/>
      <c r="I912" s="16"/>
      <c r="J912" s="11"/>
      <c r="K912" s="11"/>
      <c r="L912" s="13"/>
      <c r="M912" s="13"/>
    </row>
    <row r="913" spans="6:13" ht="13.2">
      <c r="F913" s="15"/>
      <c r="G913" s="15"/>
      <c r="H913" s="16"/>
      <c r="I913" s="16"/>
      <c r="J913" s="11"/>
      <c r="K913" s="11"/>
      <c r="L913" s="13"/>
      <c r="M913" s="13"/>
    </row>
    <row r="914" spans="6:13" ht="13.2">
      <c r="F914" s="15"/>
      <c r="G914" s="15"/>
      <c r="H914" s="16"/>
      <c r="I914" s="16"/>
      <c r="J914" s="11"/>
      <c r="K914" s="11"/>
      <c r="L914" s="13"/>
      <c r="M914" s="13"/>
    </row>
    <row r="915" spans="6:13" ht="13.2">
      <c r="F915" s="15"/>
      <c r="G915" s="15"/>
      <c r="H915" s="16"/>
      <c r="I915" s="16"/>
      <c r="J915" s="11"/>
      <c r="K915" s="11"/>
      <c r="L915" s="13"/>
      <c r="M915" s="13"/>
    </row>
    <row r="916" spans="6:13" ht="13.2">
      <c r="F916" s="15"/>
      <c r="G916" s="15"/>
      <c r="H916" s="16"/>
      <c r="I916" s="16"/>
      <c r="J916" s="11"/>
      <c r="K916" s="11"/>
      <c r="L916" s="13"/>
      <c r="M916" s="13"/>
    </row>
    <row r="917" spans="6:13" ht="13.2">
      <c r="F917" s="15"/>
      <c r="G917" s="15"/>
      <c r="H917" s="16"/>
      <c r="I917" s="16"/>
      <c r="J917" s="11"/>
      <c r="K917" s="11"/>
      <c r="L917" s="13"/>
      <c r="M917" s="13"/>
    </row>
    <row r="918" spans="6:13" ht="13.2">
      <c r="F918" s="15"/>
      <c r="G918" s="15"/>
      <c r="H918" s="16"/>
      <c r="I918" s="16"/>
      <c r="J918" s="11"/>
      <c r="K918" s="11"/>
      <c r="L918" s="13"/>
      <c r="M918" s="13"/>
    </row>
    <row r="919" spans="6:13" ht="13.2">
      <c r="F919" s="15"/>
      <c r="G919" s="15"/>
      <c r="H919" s="16"/>
      <c r="I919" s="16"/>
      <c r="J919" s="11"/>
      <c r="K919" s="11"/>
      <c r="L919" s="13"/>
      <c r="M919" s="13"/>
    </row>
    <row r="920" spans="6:13" ht="13.2">
      <c r="F920" s="15"/>
      <c r="G920" s="15"/>
      <c r="H920" s="16"/>
      <c r="I920" s="16"/>
      <c r="J920" s="11"/>
      <c r="K920" s="11"/>
      <c r="L920" s="13"/>
      <c r="M920" s="13"/>
    </row>
    <row r="921" spans="6:13" ht="13.2">
      <c r="F921" s="15"/>
      <c r="G921" s="15"/>
      <c r="H921" s="16"/>
      <c r="I921" s="16"/>
      <c r="J921" s="11"/>
      <c r="K921" s="11"/>
      <c r="L921" s="13"/>
      <c r="M921" s="13"/>
    </row>
    <row r="922" spans="6:13" ht="13.2">
      <c r="F922" s="15"/>
      <c r="G922" s="15"/>
      <c r="H922" s="16"/>
      <c r="I922" s="16"/>
      <c r="J922" s="11"/>
      <c r="K922" s="11"/>
      <c r="L922" s="13"/>
      <c r="M922" s="13"/>
    </row>
    <row r="923" spans="6:13" ht="13.2">
      <c r="F923" s="15"/>
      <c r="G923" s="15"/>
      <c r="H923" s="16"/>
      <c r="I923" s="16"/>
      <c r="J923" s="11"/>
      <c r="K923" s="11"/>
      <c r="L923" s="13"/>
      <c r="M923" s="13"/>
    </row>
    <row r="924" spans="6:13" ht="13.2">
      <c r="F924" s="15"/>
      <c r="G924" s="15"/>
      <c r="H924" s="16"/>
      <c r="I924" s="16"/>
      <c r="J924" s="11"/>
      <c r="K924" s="11"/>
      <c r="L924" s="13"/>
      <c r="M924" s="13"/>
    </row>
    <row r="925" spans="6:13" ht="13.2">
      <c r="F925" s="15"/>
      <c r="G925" s="15"/>
      <c r="H925" s="16"/>
      <c r="I925" s="16"/>
      <c r="J925" s="11"/>
      <c r="K925" s="11"/>
      <c r="L925" s="13"/>
      <c r="M925" s="13"/>
    </row>
    <row r="926" spans="6:13" ht="13.2">
      <c r="F926" s="15"/>
      <c r="G926" s="15"/>
      <c r="H926" s="16"/>
      <c r="I926" s="16"/>
      <c r="J926" s="11"/>
      <c r="K926" s="11"/>
      <c r="L926" s="13"/>
      <c r="M926" s="13"/>
    </row>
    <row r="927" spans="6:13" ht="13.2">
      <c r="F927" s="15"/>
      <c r="G927" s="15"/>
      <c r="H927" s="16"/>
      <c r="I927" s="16"/>
      <c r="J927" s="11"/>
      <c r="K927" s="11"/>
      <c r="L927" s="13"/>
      <c r="M927" s="13"/>
    </row>
    <row r="928" spans="6:13" ht="13.2">
      <c r="F928" s="15"/>
      <c r="G928" s="15"/>
      <c r="H928" s="16"/>
      <c r="I928" s="16"/>
      <c r="J928" s="11"/>
      <c r="K928" s="11"/>
      <c r="L928" s="13"/>
      <c r="M928" s="13"/>
    </row>
    <row r="929" spans="6:13" ht="13.2">
      <c r="F929" s="15"/>
      <c r="G929" s="15"/>
      <c r="H929" s="16"/>
      <c r="I929" s="16"/>
      <c r="J929" s="11"/>
      <c r="K929" s="11"/>
      <c r="L929" s="13"/>
      <c r="M929" s="13"/>
    </row>
    <row r="930" spans="6:13" ht="13.2">
      <c r="F930" s="15"/>
      <c r="G930" s="15"/>
      <c r="H930" s="16"/>
      <c r="I930" s="16"/>
      <c r="J930" s="11"/>
      <c r="K930" s="11"/>
      <c r="L930" s="13"/>
      <c r="M930" s="13"/>
    </row>
    <row r="931" spans="6:13" ht="13.2">
      <c r="F931" s="15"/>
      <c r="G931" s="15"/>
      <c r="H931" s="16"/>
      <c r="I931" s="16"/>
      <c r="J931" s="11"/>
      <c r="K931" s="11"/>
      <c r="L931" s="13"/>
      <c r="M931" s="13"/>
    </row>
    <row r="932" spans="6:13" ht="13.2">
      <c r="F932" s="15"/>
      <c r="G932" s="15"/>
      <c r="H932" s="16"/>
      <c r="I932" s="16"/>
      <c r="J932" s="11"/>
      <c r="K932" s="11"/>
      <c r="L932" s="13"/>
      <c r="M932" s="13"/>
    </row>
    <row r="933" spans="6:13" ht="13.2">
      <c r="F933" s="15"/>
      <c r="G933" s="15"/>
      <c r="H933" s="16"/>
      <c r="I933" s="16"/>
      <c r="J933" s="11"/>
      <c r="K933" s="11"/>
      <c r="L933" s="13"/>
      <c r="M933" s="13"/>
    </row>
    <row r="934" spans="6:13" ht="13.2">
      <c r="F934" s="15"/>
      <c r="G934" s="15"/>
      <c r="H934" s="16"/>
      <c r="I934" s="16"/>
      <c r="J934" s="11"/>
      <c r="K934" s="11"/>
      <c r="L934" s="13"/>
      <c r="M934" s="13"/>
    </row>
    <row r="935" spans="6:13" ht="13.2">
      <c r="F935" s="15"/>
      <c r="G935" s="15"/>
      <c r="H935" s="16"/>
      <c r="I935" s="16"/>
      <c r="J935" s="11"/>
      <c r="K935" s="11"/>
      <c r="L935" s="13"/>
      <c r="M935" s="13"/>
    </row>
    <row r="936" spans="6:13" ht="13.2">
      <c r="F936" s="15"/>
      <c r="G936" s="15"/>
      <c r="H936" s="16"/>
      <c r="I936" s="16"/>
      <c r="J936" s="11"/>
      <c r="K936" s="11"/>
      <c r="L936" s="13"/>
      <c r="M936" s="13"/>
    </row>
    <row r="937" spans="6:13" ht="13.2">
      <c r="F937" s="15"/>
      <c r="G937" s="15"/>
      <c r="H937" s="16"/>
      <c r="I937" s="16"/>
      <c r="J937" s="11"/>
      <c r="K937" s="11"/>
      <c r="L937" s="13"/>
      <c r="M937" s="13"/>
    </row>
    <row r="938" spans="6:13" ht="13.2">
      <c r="F938" s="15"/>
      <c r="G938" s="15"/>
      <c r="H938" s="16"/>
      <c r="I938" s="16"/>
      <c r="J938" s="11"/>
      <c r="K938" s="11"/>
      <c r="L938" s="13"/>
      <c r="M938" s="13"/>
    </row>
    <row r="939" spans="6:13" ht="13.2">
      <c r="F939" s="15"/>
      <c r="G939" s="15"/>
      <c r="H939" s="16"/>
      <c r="I939" s="16"/>
      <c r="J939" s="11"/>
      <c r="K939" s="11"/>
      <c r="L939" s="13"/>
      <c r="M939" s="13"/>
    </row>
    <row r="940" spans="6:13" ht="13.2">
      <c r="F940" s="15"/>
      <c r="G940" s="15"/>
      <c r="H940" s="16"/>
      <c r="I940" s="16"/>
      <c r="J940" s="11"/>
      <c r="K940" s="11"/>
      <c r="L940" s="13"/>
      <c r="M940" s="13"/>
    </row>
    <row r="941" spans="6:13" ht="13.2">
      <c r="F941" s="15"/>
      <c r="G941" s="15"/>
      <c r="H941" s="16"/>
      <c r="I941" s="16"/>
      <c r="J941" s="11"/>
      <c r="K941" s="11"/>
      <c r="L941" s="13"/>
      <c r="M941" s="13"/>
    </row>
    <row r="942" spans="6:13" ht="13.2">
      <c r="F942" s="15"/>
      <c r="G942" s="15"/>
      <c r="H942" s="16"/>
      <c r="I942" s="16"/>
      <c r="J942" s="11"/>
      <c r="K942" s="11"/>
      <c r="L942" s="13"/>
      <c r="M942" s="13"/>
    </row>
    <row r="943" spans="6:13" ht="13.2">
      <c r="F943" s="15"/>
      <c r="G943" s="15"/>
      <c r="H943" s="16"/>
      <c r="I943" s="16"/>
      <c r="J943" s="11"/>
      <c r="K943" s="11"/>
      <c r="L943" s="13"/>
      <c r="M943" s="13"/>
    </row>
    <row r="944" spans="6:13" ht="13.2">
      <c r="F944" s="15"/>
      <c r="G944" s="15"/>
      <c r="H944" s="16"/>
      <c r="I944" s="16"/>
      <c r="J944" s="11"/>
      <c r="K944" s="11"/>
      <c r="L944" s="13"/>
      <c r="M944" s="13"/>
    </row>
    <row r="945" spans="6:13" ht="13.2">
      <c r="F945" s="15"/>
      <c r="G945" s="15"/>
      <c r="H945" s="16"/>
      <c r="I945" s="16"/>
      <c r="J945" s="11"/>
      <c r="K945" s="11"/>
      <c r="L945" s="13"/>
      <c r="M945" s="13"/>
    </row>
    <row r="946" spans="6:13" ht="13.2">
      <c r="F946" s="15"/>
      <c r="G946" s="15"/>
      <c r="H946" s="16"/>
      <c r="I946" s="16"/>
      <c r="J946" s="11"/>
      <c r="K946" s="11"/>
      <c r="L946" s="13"/>
      <c r="M946" s="13"/>
    </row>
    <row r="947" spans="6:13" ht="13.2">
      <c r="F947" s="15"/>
      <c r="G947" s="15"/>
      <c r="H947" s="16"/>
      <c r="I947" s="16"/>
      <c r="J947" s="11"/>
      <c r="K947" s="11"/>
      <c r="L947" s="13"/>
      <c r="M947" s="13"/>
    </row>
    <row r="948" spans="6:13" ht="13.2">
      <c r="F948" s="15"/>
      <c r="G948" s="15"/>
      <c r="H948" s="16"/>
      <c r="I948" s="16"/>
      <c r="J948" s="11"/>
      <c r="K948" s="11"/>
      <c r="L948" s="13"/>
      <c r="M948" s="13"/>
    </row>
    <row r="949" spans="6:13" ht="13.2">
      <c r="F949" s="15"/>
      <c r="G949" s="15"/>
      <c r="H949" s="16"/>
      <c r="I949" s="16"/>
      <c r="J949" s="11"/>
      <c r="K949" s="11"/>
      <c r="L949" s="13"/>
      <c r="M949" s="13"/>
    </row>
    <row r="950" spans="6:13" ht="13.2">
      <c r="F950" s="15"/>
      <c r="G950" s="15"/>
      <c r="H950" s="16"/>
      <c r="I950" s="16"/>
      <c r="J950" s="11"/>
      <c r="K950" s="11"/>
      <c r="L950" s="13"/>
      <c r="M950" s="13"/>
    </row>
    <row r="951" spans="6:13" ht="13.2">
      <c r="F951" s="15"/>
      <c r="G951" s="15"/>
      <c r="H951" s="16"/>
      <c r="I951" s="16"/>
      <c r="J951" s="11"/>
      <c r="K951" s="11"/>
      <c r="L951" s="13"/>
      <c r="M951" s="13"/>
    </row>
    <row r="952" spans="6:13" ht="13.2">
      <c r="F952" s="15"/>
      <c r="G952" s="15"/>
      <c r="H952" s="16"/>
      <c r="I952" s="16"/>
      <c r="J952" s="11"/>
      <c r="K952" s="11"/>
      <c r="L952" s="13"/>
      <c r="M952" s="13"/>
    </row>
    <row r="953" spans="6:13" ht="13.2">
      <c r="F953" s="15"/>
      <c r="G953" s="15"/>
      <c r="H953" s="16"/>
      <c r="I953" s="16"/>
      <c r="J953" s="11"/>
      <c r="K953" s="11"/>
      <c r="L953" s="13"/>
      <c r="M953" s="13"/>
    </row>
    <row r="954" spans="6:13" ht="13.2">
      <c r="F954" s="15"/>
      <c r="G954" s="15"/>
      <c r="H954" s="16"/>
      <c r="I954" s="16"/>
      <c r="J954" s="11"/>
      <c r="K954" s="11"/>
      <c r="L954" s="13"/>
      <c r="M954" s="13"/>
    </row>
    <row r="955" spans="6:13" ht="13.2">
      <c r="F955" s="15"/>
      <c r="G955" s="15"/>
      <c r="H955" s="16"/>
      <c r="I955" s="16"/>
      <c r="J955" s="11"/>
      <c r="K955" s="11"/>
      <c r="L955" s="13"/>
      <c r="M955" s="13"/>
    </row>
    <row r="956" spans="6:13" ht="13.2">
      <c r="F956" s="15"/>
      <c r="G956" s="15"/>
      <c r="H956" s="16"/>
      <c r="I956" s="16"/>
      <c r="J956" s="11"/>
      <c r="K956" s="11"/>
      <c r="L956" s="13"/>
      <c r="M956" s="13"/>
    </row>
    <row r="957" spans="6:13" ht="13.2">
      <c r="F957" s="15"/>
      <c r="G957" s="15"/>
      <c r="H957" s="16"/>
      <c r="I957" s="16"/>
      <c r="J957" s="11"/>
      <c r="K957" s="11"/>
      <c r="L957" s="13"/>
      <c r="M957" s="13"/>
    </row>
    <row r="958" spans="6:13" ht="13.2">
      <c r="F958" s="15"/>
      <c r="G958" s="15"/>
      <c r="H958" s="16"/>
      <c r="I958" s="16"/>
      <c r="J958" s="11"/>
      <c r="K958" s="11"/>
      <c r="L958" s="13"/>
      <c r="M958" s="13"/>
    </row>
    <row r="959" spans="6:13" ht="13.2">
      <c r="F959" s="15"/>
      <c r="G959" s="15"/>
      <c r="H959" s="16"/>
      <c r="I959" s="16"/>
      <c r="J959" s="11"/>
      <c r="K959" s="11"/>
      <c r="L959" s="13"/>
      <c r="M959" s="13"/>
    </row>
    <row r="960" spans="6:13" ht="13.2">
      <c r="F960" s="15"/>
      <c r="G960" s="15"/>
      <c r="H960" s="16"/>
      <c r="I960" s="16"/>
      <c r="J960" s="11"/>
      <c r="K960" s="11"/>
      <c r="L960" s="13"/>
      <c r="M960" s="13"/>
    </row>
    <row r="961" spans="6:13" ht="13.2">
      <c r="F961" s="15"/>
      <c r="G961" s="15"/>
      <c r="H961" s="16"/>
      <c r="I961" s="16"/>
      <c r="J961" s="11"/>
      <c r="K961" s="11"/>
      <c r="L961" s="13"/>
      <c r="M961" s="13"/>
    </row>
    <row r="962" spans="6:13" ht="13.2">
      <c r="F962" s="15"/>
      <c r="G962" s="15"/>
      <c r="H962" s="16"/>
      <c r="I962" s="16"/>
      <c r="J962" s="11"/>
      <c r="K962" s="11"/>
      <c r="L962" s="13"/>
      <c r="M962" s="13"/>
    </row>
    <row r="963" spans="6:13" ht="13.2">
      <c r="F963" s="15"/>
      <c r="G963" s="15"/>
      <c r="H963" s="16"/>
      <c r="I963" s="16"/>
      <c r="J963" s="11"/>
      <c r="K963" s="11"/>
      <c r="L963" s="13"/>
      <c r="M963" s="13"/>
    </row>
    <row r="964" spans="6:13" ht="13.2">
      <c r="F964" s="15"/>
      <c r="G964" s="15"/>
      <c r="H964" s="16"/>
      <c r="I964" s="16"/>
      <c r="J964" s="11"/>
      <c r="K964" s="11"/>
      <c r="L964" s="13"/>
      <c r="M964" s="13"/>
    </row>
    <row r="965" spans="6:13" ht="13.2">
      <c r="F965" s="15"/>
      <c r="G965" s="15"/>
      <c r="H965" s="16"/>
      <c r="I965" s="16"/>
      <c r="J965" s="11"/>
      <c r="K965" s="11"/>
      <c r="L965" s="13"/>
      <c r="M965" s="13"/>
    </row>
    <row r="966" spans="6:13" ht="13.2">
      <c r="F966" s="15"/>
      <c r="G966" s="15"/>
      <c r="H966" s="16"/>
      <c r="I966" s="16"/>
      <c r="J966" s="11"/>
      <c r="K966" s="11"/>
      <c r="L966" s="13"/>
      <c r="M966" s="13"/>
    </row>
    <row r="967" spans="6:13" ht="13.2">
      <c r="F967" s="15"/>
      <c r="G967" s="15"/>
      <c r="H967" s="16"/>
      <c r="I967" s="16"/>
      <c r="J967" s="11"/>
      <c r="K967" s="11"/>
      <c r="L967" s="13"/>
      <c r="M967" s="13"/>
    </row>
    <row r="968" spans="6:13" ht="13.2">
      <c r="F968" s="15"/>
      <c r="G968" s="15"/>
      <c r="H968" s="16"/>
      <c r="I968" s="16"/>
      <c r="J968" s="11"/>
      <c r="K968" s="11"/>
      <c r="L968" s="13"/>
      <c r="M968" s="13"/>
    </row>
    <row r="969" spans="6:13" ht="13.2">
      <c r="F969" s="15"/>
      <c r="G969" s="15"/>
      <c r="H969" s="16"/>
      <c r="I969" s="16"/>
      <c r="J969" s="11"/>
      <c r="K969" s="11"/>
      <c r="L969" s="13"/>
      <c r="M969" s="13"/>
    </row>
    <row r="970" spans="6:13" ht="13.2">
      <c r="F970" s="15"/>
      <c r="G970" s="15"/>
      <c r="H970" s="16"/>
      <c r="I970" s="16"/>
      <c r="J970" s="11"/>
      <c r="K970" s="11"/>
      <c r="L970" s="13"/>
      <c r="M970" s="13"/>
    </row>
    <row r="971" spans="6:13" ht="13.2">
      <c r="F971" s="15"/>
      <c r="G971" s="15"/>
      <c r="H971" s="16"/>
      <c r="I971" s="16"/>
      <c r="J971" s="11"/>
      <c r="K971" s="11"/>
      <c r="L971" s="13"/>
      <c r="M971" s="13"/>
    </row>
    <row r="972" spans="6:13" ht="13.2">
      <c r="F972" s="15"/>
      <c r="G972" s="15"/>
      <c r="H972" s="16"/>
      <c r="I972" s="16"/>
      <c r="J972" s="11"/>
      <c r="K972" s="11"/>
      <c r="L972" s="13"/>
      <c r="M972" s="13"/>
    </row>
    <row r="973" spans="6:13" ht="13.2">
      <c r="F973" s="15"/>
      <c r="G973" s="15"/>
      <c r="H973" s="16"/>
      <c r="I973" s="16"/>
      <c r="J973" s="11"/>
      <c r="K973" s="11"/>
      <c r="L973" s="13"/>
      <c r="M973" s="13"/>
    </row>
    <row r="974" spans="6:13" ht="13.2">
      <c r="F974" s="15"/>
      <c r="G974" s="15"/>
      <c r="H974" s="16"/>
      <c r="I974" s="16"/>
      <c r="J974" s="11"/>
      <c r="K974" s="11"/>
      <c r="L974" s="13"/>
      <c r="M974" s="13"/>
    </row>
    <row r="975" spans="6:13" ht="13.2">
      <c r="F975" s="15"/>
      <c r="G975" s="15"/>
      <c r="H975" s="16"/>
      <c r="I975" s="16"/>
      <c r="J975" s="11"/>
      <c r="K975" s="11"/>
      <c r="L975" s="13"/>
      <c r="M975" s="13"/>
    </row>
    <row r="976" spans="6:13" ht="13.2">
      <c r="F976" s="15"/>
      <c r="G976" s="15"/>
      <c r="H976" s="16"/>
      <c r="I976" s="16"/>
      <c r="J976" s="11"/>
      <c r="K976" s="11"/>
      <c r="L976" s="13"/>
      <c r="M976" s="13"/>
    </row>
    <row r="977" spans="6:13" ht="13.2">
      <c r="F977" s="15"/>
      <c r="G977" s="15"/>
      <c r="H977" s="16"/>
      <c r="I977" s="16"/>
      <c r="J977" s="11"/>
      <c r="K977" s="11"/>
      <c r="L977" s="13"/>
      <c r="M977" s="13"/>
    </row>
    <row r="978" spans="6:13" ht="13.2">
      <c r="F978" s="15"/>
      <c r="G978" s="15"/>
      <c r="H978" s="16"/>
      <c r="I978" s="16"/>
      <c r="J978" s="11"/>
      <c r="K978" s="11"/>
      <c r="L978" s="13"/>
      <c r="M978" s="13"/>
    </row>
    <row r="979" spans="6:13" ht="13.2">
      <c r="F979" s="15"/>
      <c r="G979" s="15"/>
      <c r="H979" s="16"/>
      <c r="I979" s="16"/>
      <c r="J979" s="11"/>
      <c r="K979" s="11"/>
      <c r="L979" s="13"/>
      <c r="M979" s="13"/>
    </row>
    <row r="980" spans="6:13" ht="13.2">
      <c r="F980" s="15"/>
      <c r="G980" s="15"/>
      <c r="H980" s="16"/>
      <c r="I980" s="16"/>
      <c r="J980" s="11"/>
      <c r="K980" s="11"/>
      <c r="L980" s="13"/>
      <c r="M980" s="13"/>
    </row>
    <row r="981" spans="6:13" ht="13.2">
      <c r="F981" s="15"/>
      <c r="G981" s="15"/>
      <c r="H981" s="16"/>
      <c r="I981" s="16"/>
      <c r="J981" s="11"/>
      <c r="K981" s="11"/>
      <c r="L981" s="13"/>
      <c r="M981" s="13"/>
    </row>
    <row r="982" spans="6:13" ht="13.2">
      <c r="F982" s="15"/>
      <c r="G982" s="15"/>
      <c r="H982" s="16"/>
      <c r="I982" s="16"/>
      <c r="J982" s="11"/>
      <c r="K982" s="11"/>
      <c r="L982" s="13"/>
      <c r="M982" s="13"/>
    </row>
    <row r="983" spans="6:13" ht="13.2">
      <c r="F983" s="15"/>
      <c r="G983" s="15"/>
      <c r="H983" s="16"/>
      <c r="I983" s="16"/>
      <c r="J983" s="11"/>
      <c r="K983" s="11"/>
      <c r="L983" s="13"/>
      <c r="M983" s="13"/>
    </row>
    <row r="984" spans="6:13" ht="13.2">
      <c r="F984" s="15"/>
      <c r="G984" s="15"/>
      <c r="H984" s="16"/>
      <c r="I984" s="16"/>
      <c r="J984" s="11"/>
      <c r="K984" s="11"/>
      <c r="L984" s="13"/>
      <c r="M984" s="13"/>
    </row>
    <row r="985" spans="6:13" ht="13.2">
      <c r="F985" s="15"/>
      <c r="G985" s="15"/>
      <c r="H985" s="16"/>
      <c r="I985" s="16"/>
      <c r="J985" s="11"/>
      <c r="K985" s="11"/>
      <c r="L985" s="13"/>
      <c r="M985" s="13"/>
    </row>
    <row r="986" spans="6:13" ht="13.2">
      <c r="F986" s="15"/>
      <c r="G986" s="15"/>
      <c r="H986" s="16"/>
      <c r="I986" s="16"/>
      <c r="J986" s="11"/>
      <c r="K986" s="11"/>
      <c r="L986" s="13"/>
      <c r="M986" s="13"/>
    </row>
    <row r="987" spans="6:13" ht="13.2">
      <c r="F987" s="15"/>
      <c r="G987" s="15"/>
      <c r="H987" s="16"/>
      <c r="I987" s="16"/>
      <c r="J987" s="11"/>
      <c r="K987" s="11"/>
      <c r="L987" s="13"/>
      <c r="M987" s="13"/>
    </row>
    <row r="988" spans="6:13" ht="13.2">
      <c r="F988" s="15"/>
      <c r="G988" s="15"/>
      <c r="H988" s="16"/>
      <c r="I988" s="16"/>
      <c r="J988" s="11"/>
      <c r="K988" s="11"/>
      <c r="L988" s="13"/>
      <c r="M988" s="13"/>
    </row>
    <row r="989" spans="6:13" ht="13.2">
      <c r="F989" s="15"/>
      <c r="G989" s="15"/>
      <c r="H989" s="16"/>
      <c r="I989" s="16"/>
      <c r="J989" s="11"/>
      <c r="K989" s="11"/>
      <c r="L989" s="13"/>
      <c r="M989" s="13"/>
    </row>
    <row r="990" spans="6:13" ht="13.2">
      <c r="F990" s="15"/>
      <c r="G990" s="15"/>
      <c r="H990" s="16"/>
      <c r="I990" s="16"/>
      <c r="J990" s="11"/>
      <c r="K990" s="11"/>
      <c r="L990" s="13"/>
      <c r="M990" s="13"/>
    </row>
    <row r="991" spans="6:13" ht="13.2">
      <c r="F991" s="15"/>
      <c r="G991" s="15"/>
      <c r="H991" s="16"/>
      <c r="I991" s="16"/>
      <c r="J991" s="11"/>
      <c r="K991" s="11"/>
      <c r="L991" s="13"/>
      <c r="M991" s="13"/>
    </row>
    <row r="992" spans="6:13" ht="13.2">
      <c r="F992" s="15"/>
      <c r="G992" s="15"/>
      <c r="H992" s="16"/>
      <c r="I992" s="16"/>
      <c r="J992" s="11"/>
      <c r="K992" s="11"/>
      <c r="L992" s="13"/>
      <c r="M992" s="13"/>
    </row>
    <row r="993" spans="6:13" ht="13.2">
      <c r="F993" s="15"/>
      <c r="G993" s="15"/>
      <c r="H993" s="16"/>
      <c r="I993" s="16"/>
      <c r="J993" s="11"/>
      <c r="K993" s="11"/>
      <c r="L993" s="13"/>
      <c r="M993" s="13"/>
    </row>
    <row r="994" spans="6:13" ht="13.2">
      <c r="F994" s="15"/>
      <c r="G994" s="15"/>
      <c r="H994" s="16"/>
      <c r="I994" s="16"/>
      <c r="J994" s="11"/>
      <c r="K994" s="11"/>
      <c r="L994" s="13"/>
      <c r="M994" s="13"/>
    </row>
    <row r="995" spans="6:13" ht="13.2">
      <c r="F995" s="15"/>
      <c r="G995" s="15"/>
      <c r="H995" s="16"/>
      <c r="I995" s="16"/>
      <c r="J995" s="11"/>
      <c r="K995" s="11"/>
      <c r="L995" s="13"/>
      <c r="M995" s="13"/>
    </row>
    <row r="996" spans="6:13" ht="13.2">
      <c r="F996" s="15"/>
      <c r="G996" s="15"/>
      <c r="H996" s="16"/>
      <c r="I996" s="16"/>
      <c r="J996" s="11"/>
      <c r="K996" s="11"/>
      <c r="L996" s="13"/>
      <c r="M996" s="13"/>
    </row>
    <row r="997" spans="6:13" ht="13.2">
      <c r="F997" s="15"/>
      <c r="G997" s="15"/>
      <c r="H997" s="16"/>
      <c r="I997" s="16"/>
      <c r="J997" s="11"/>
      <c r="K997" s="11"/>
      <c r="L997" s="13"/>
      <c r="M997" s="13"/>
    </row>
    <row r="998" spans="6:13" ht="13.2">
      <c r="F998" s="15"/>
      <c r="G998" s="15"/>
      <c r="H998" s="16"/>
      <c r="I998" s="16"/>
      <c r="J998" s="11"/>
      <c r="K998" s="11"/>
      <c r="L998" s="13"/>
      <c r="M998" s="13"/>
    </row>
    <row r="999" spans="6:13" ht="13.2">
      <c r="F999" s="15"/>
      <c r="G999" s="15"/>
      <c r="H999" s="16"/>
      <c r="I999" s="16"/>
      <c r="J999" s="11"/>
      <c r="K999" s="11"/>
      <c r="L999" s="13"/>
      <c r="M999" s="13"/>
    </row>
    <row r="1000" spans="6:13" ht="13.2">
      <c r="F1000" s="15"/>
      <c r="G1000" s="15"/>
      <c r="H1000" s="16"/>
      <c r="I1000" s="16"/>
      <c r="J1000" s="11"/>
      <c r="K1000" s="11"/>
      <c r="L1000" s="13"/>
      <c r="M1000" s="13"/>
    </row>
  </sheetData>
  <mergeCells count="10">
    <mergeCell ref="J1:K1"/>
    <mergeCell ref="L1:M1"/>
    <mergeCell ref="A3:A12"/>
    <mergeCell ref="B3:B12"/>
    <mergeCell ref="B16:B23"/>
    <mergeCell ref="A16:A23"/>
    <mergeCell ref="A28:A35"/>
    <mergeCell ref="B28:B35"/>
    <mergeCell ref="F1:G1"/>
    <mergeCell ref="H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101"/>
  <sheetViews>
    <sheetView topLeftCell="A61" workbookViewId="0">
      <selection activeCell="I79" sqref="I79"/>
    </sheetView>
  </sheetViews>
  <sheetFormatPr defaultColWidth="12.6640625" defaultRowHeight="15.75" customHeight="1"/>
  <cols>
    <col min="4" max="4" width="37.44140625" customWidth="1"/>
    <col min="6" max="6" width="29.6640625" customWidth="1"/>
    <col min="7" max="7" width="29.44140625" customWidth="1"/>
    <col min="8" max="8" width="20.88671875" customWidth="1"/>
    <col min="9" max="9" width="18.88671875" customWidth="1"/>
    <col min="11" max="11" width="24.88671875" customWidth="1"/>
    <col min="14" max="14" width="11.88671875" customWidth="1"/>
  </cols>
  <sheetData>
    <row r="1" spans="1:11">
      <c r="A1" s="7"/>
      <c r="B1" s="7"/>
      <c r="C1" s="7"/>
      <c r="D1" s="7"/>
      <c r="E1" s="7"/>
      <c r="F1" s="7"/>
      <c r="G1" s="7"/>
      <c r="H1" s="7"/>
      <c r="I1" s="7"/>
      <c r="J1" s="7"/>
    </row>
    <row r="2" spans="1:11">
      <c r="A2" s="7"/>
      <c r="B2" s="7"/>
      <c r="C2" s="7"/>
      <c r="D2" s="7"/>
      <c r="E2" s="7"/>
      <c r="F2" s="7"/>
      <c r="G2" s="7"/>
      <c r="H2" s="7"/>
      <c r="I2" s="7"/>
      <c r="J2" s="7"/>
    </row>
    <row r="3" spans="1:11" ht="15.75" customHeight="1">
      <c r="A3" s="7"/>
      <c r="B3" s="1" t="s">
        <v>0</v>
      </c>
      <c r="C3" s="1" t="s">
        <v>1</v>
      </c>
      <c r="D3" s="1" t="s">
        <v>2</v>
      </c>
      <c r="E3" s="1" t="s">
        <v>4</v>
      </c>
      <c r="F3" s="1" t="s">
        <v>19</v>
      </c>
      <c r="G3" s="1" t="s">
        <v>20</v>
      </c>
      <c r="H3" s="1" t="s">
        <v>21</v>
      </c>
      <c r="I3" s="1" t="s">
        <v>22</v>
      </c>
      <c r="J3" s="1" t="s">
        <v>23</v>
      </c>
      <c r="K3" s="1" t="s">
        <v>11</v>
      </c>
    </row>
    <row r="4" spans="1:11">
      <c r="A4" s="7"/>
      <c r="B4" s="68" t="s">
        <v>24</v>
      </c>
      <c r="C4" s="68" t="s">
        <v>25</v>
      </c>
      <c r="D4" s="7" t="s">
        <v>26</v>
      </c>
      <c r="E4" s="7">
        <v>25</v>
      </c>
      <c r="F4" s="7">
        <v>0.315</v>
      </c>
      <c r="G4" s="7">
        <f>SUM(E4*F4)</f>
        <v>7.875</v>
      </c>
      <c r="I4" s="7"/>
      <c r="J4" s="7"/>
    </row>
    <row r="5" spans="1:11">
      <c r="A5" s="7"/>
      <c r="B5" s="62"/>
      <c r="C5" s="62"/>
      <c r="D5" s="7" t="s">
        <v>26</v>
      </c>
      <c r="E5" s="7">
        <v>50</v>
      </c>
      <c r="F5" s="7">
        <v>0.32250000000000001</v>
      </c>
      <c r="G5" s="7">
        <f t="shared" ref="G5:G13" si="0">SUM(E5*F5)</f>
        <v>16.125</v>
      </c>
      <c r="I5" s="7"/>
      <c r="J5" s="7"/>
    </row>
    <row r="6" spans="1:11">
      <c r="A6" s="7"/>
      <c r="B6" s="62"/>
      <c r="C6" s="62"/>
      <c r="D6" s="7" t="s">
        <v>26</v>
      </c>
      <c r="E6" s="7">
        <v>100</v>
      </c>
      <c r="F6" s="7">
        <v>0.35249999999999998</v>
      </c>
      <c r="G6" s="7">
        <f t="shared" si="0"/>
        <v>35.25</v>
      </c>
      <c r="I6" s="7"/>
      <c r="J6" s="7"/>
    </row>
    <row r="7" spans="1:11">
      <c r="A7" s="7"/>
      <c r="B7" s="62"/>
      <c r="C7" s="62"/>
      <c r="D7" s="7" t="s">
        <v>26</v>
      </c>
      <c r="E7" s="7">
        <v>250</v>
      </c>
      <c r="F7" s="7">
        <v>0.27</v>
      </c>
      <c r="G7" s="7">
        <f t="shared" si="0"/>
        <v>67.5</v>
      </c>
      <c r="I7" s="7"/>
      <c r="J7" s="7"/>
    </row>
    <row r="8" spans="1:11">
      <c r="A8" s="7"/>
      <c r="B8" s="62"/>
      <c r="C8" s="62"/>
      <c r="D8" s="7" t="s">
        <v>26</v>
      </c>
      <c r="E8" s="7">
        <v>500</v>
      </c>
      <c r="F8" s="7">
        <v>0.19500000000000001</v>
      </c>
      <c r="G8" s="7">
        <f t="shared" si="0"/>
        <v>97.5</v>
      </c>
      <c r="I8" s="7"/>
      <c r="J8" s="7"/>
    </row>
    <row r="9" spans="1:11">
      <c r="A9" s="7"/>
      <c r="B9" s="62"/>
      <c r="C9" s="62"/>
      <c r="D9" s="7" t="s">
        <v>26</v>
      </c>
      <c r="E9" s="7">
        <v>1000</v>
      </c>
      <c r="F9" s="7">
        <v>0.19500000000000001</v>
      </c>
      <c r="G9" s="7">
        <f t="shared" si="0"/>
        <v>195</v>
      </c>
      <c r="I9" s="7"/>
      <c r="J9" s="7"/>
    </row>
    <row r="10" spans="1:11">
      <c r="A10" s="7"/>
      <c r="B10" s="62"/>
      <c r="C10" s="62"/>
      <c r="D10" s="7" t="s">
        <v>26</v>
      </c>
      <c r="E10" s="7">
        <v>1500</v>
      </c>
      <c r="F10" s="7">
        <v>0.19500000000000001</v>
      </c>
      <c r="G10" s="7">
        <f t="shared" si="0"/>
        <v>292.5</v>
      </c>
      <c r="I10" s="7"/>
      <c r="J10" s="7"/>
    </row>
    <row r="11" spans="1:11">
      <c r="A11" s="7"/>
      <c r="B11" s="62"/>
      <c r="C11" s="62"/>
      <c r="D11" s="7" t="s">
        <v>26</v>
      </c>
      <c r="E11" s="7">
        <v>2000</v>
      </c>
      <c r="F11" s="7">
        <v>0.1875</v>
      </c>
      <c r="G11" s="7">
        <f t="shared" si="0"/>
        <v>375</v>
      </c>
      <c r="I11" s="7"/>
      <c r="J11" s="7"/>
    </row>
    <row r="12" spans="1:11">
      <c r="A12" s="7"/>
      <c r="B12" s="62"/>
      <c r="C12" s="62"/>
      <c r="D12" s="7" t="s">
        <v>26</v>
      </c>
      <c r="E12" s="7">
        <v>2500</v>
      </c>
      <c r="F12" s="7">
        <v>0.18</v>
      </c>
      <c r="G12" s="7">
        <f t="shared" si="0"/>
        <v>450</v>
      </c>
      <c r="I12" s="7"/>
      <c r="J12" s="7"/>
    </row>
    <row r="13" spans="1:11">
      <c r="A13" s="7"/>
      <c r="B13" s="62"/>
      <c r="C13" s="62"/>
      <c r="D13" s="7" t="s">
        <v>26</v>
      </c>
      <c r="E13" s="7">
        <v>5000</v>
      </c>
      <c r="F13" s="7">
        <v>0.16500000000000001</v>
      </c>
      <c r="G13" s="7">
        <f t="shared" si="0"/>
        <v>825</v>
      </c>
      <c r="I13" s="7"/>
      <c r="J13" s="7"/>
    </row>
    <row r="14" spans="1:11">
      <c r="A14" s="7"/>
      <c r="B14" s="17"/>
      <c r="C14" s="17"/>
      <c r="D14" s="7"/>
      <c r="E14" s="7"/>
      <c r="F14" s="7"/>
      <c r="G14" s="7"/>
      <c r="H14" s="7"/>
      <c r="I14" s="7"/>
      <c r="J14" s="7"/>
    </row>
    <row r="15" spans="1:11">
      <c r="A15" s="7"/>
      <c r="B15" s="17"/>
      <c r="C15" s="17"/>
      <c r="D15" s="7"/>
      <c r="E15" s="7"/>
      <c r="F15" s="7"/>
      <c r="G15" s="7"/>
      <c r="H15" s="7"/>
      <c r="I15" s="7"/>
      <c r="J15" s="7"/>
    </row>
    <row r="16" spans="1:11" ht="15.75" customHeight="1">
      <c r="A16" s="7"/>
      <c r="B16" s="1" t="s">
        <v>0</v>
      </c>
      <c r="C16" s="1" t="s">
        <v>1</v>
      </c>
      <c r="D16" s="1" t="s">
        <v>2</v>
      </c>
      <c r="E16" s="1" t="s">
        <v>4</v>
      </c>
      <c r="F16" s="1" t="s">
        <v>27</v>
      </c>
      <c r="G16" s="1" t="s">
        <v>28</v>
      </c>
      <c r="H16" s="1" t="s">
        <v>21</v>
      </c>
      <c r="I16" s="1" t="s">
        <v>22</v>
      </c>
      <c r="J16" s="1" t="s">
        <v>23</v>
      </c>
      <c r="K16" s="1" t="s">
        <v>11</v>
      </c>
    </row>
    <row r="17" spans="1:10">
      <c r="A17" s="7"/>
      <c r="B17" s="68" t="s">
        <v>24</v>
      </c>
      <c r="C17" s="68" t="s">
        <v>25</v>
      </c>
      <c r="D17" s="7" t="s">
        <v>26</v>
      </c>
      <c r="E17" s="7">
        <v>25</v>
      </c>
      <c r="F17" s="7">
        <v>0.42000000000000004</v>
      </c>
      <c r="G17" s="7">
        <f>SUM(E17*F17)</f>
        <v>10.500000000000002</v>
      </c>
      <c r="H17" s="7"/>
      <c r="J17" s="7"/>
    </row>
    <row r="18" spans="1:10">
      <c r="A18" s="7"/>
      <c r="B18" s="62"/>
      <c r="C18" s="62"/>
      <c r="D18" s="7" t="s">
        <v>26</v>
      </c>
      <c r="E18" s="7">
        <v>50</v>
      </c>
      <c r="F18" s="7">
        <v>0.54749999999999999</v>
      </c>
      <c r="G18" s="7">
        <f t="shared" ref="G18:G26" si="1">SUM(E18*F18)</f>
        <v>27.375</v>
      </c>
      <c r="H18" s="7"/>
      <c r="J18" s="7"/>
    </row>
    <row r="19" spans="1:10">
      <c r="A19" s="7"/>
      <c r="B19" s="62"/>
      <c r="C19" s="62"/>
      <c r="D19" s="7" t="s">
        <v>26</v>
      </c>
      <c r="E19" s="7">
        <v>100</v>
      </c>
      <c r="F19" s="7">
        <v>0.60000000000000009</v>
      </c>
      <c r="G19" s="7">
        <f t="shared" si="1"/>
        <v>60.000000000000007</v>
      </c>
      <c r="H19" s="7"/>
      <c r="J19" s="7"/>
    </row>
    <row r="20" spans="1:10">
      <c r="A20" s="7"/>
      <c r="B20" s="62"/>
      <c r="C20" s="62"/>
      <c r="D20" s="7" t="s">
        <v>26</v>
      </c>
      <c r="E20" s="7">
        <v>250</v>
      </c>
      <c r="F20" s="7">
        <v>0.42749999999999999</v>
      </c>
      <c r="G20" s="7">
        <f t="shared" si="1"/>
        <v>106.875</v>
      </c>
      <c r="H20" s="7"/>
      <c r="J20" s="7"/>
    </row>
    <row r="21" spans="1:10">
      <c r="A21" s="7"/>
      <c r="B21" s="62"/>
      <c r="C21" s="62"/>
      <c r="D21" s="7" t="s">
        <v>26</v>
      </c>
      <c r="E21" s="7">
        <v>500</v>
      </c>
      <c r="F21" s="7">
        <v>0.3075</v>
      </c>
      <c r="G21" s="7">
        <f t="shared" si="1"/>
        <v>153.75</v>
      </c>
      <c r="H21" s="7"/>
      <c r="J21" s="7"/>
    </row>
    <row r="22" spans="1:10">
      <c r="A22" s="7"/>
      <c r="B22" s="62"/>
      <c r="C22" s="62"/>
      <c r="D22" s="7" t="s">
        <v>26</v>
      </c>
      <c r="E22" s="7">
        <v>1000</v>
      </c>
      <c r="F22" s="7">
        <v>0.315</v>
      </c>
      <c r="G22" s="7">
        <f t="shared" si="1"/>
        <v>315</v>
      </c>
      <c r="H22" s="7"/>
      <c r="J22" s="7"/>
    </row>
    <row r="23" spans="1:10">
      <c r="A23" s="7"/>
      <c r="B23" s="62"/>
      <c r="C23" s="62"/>
      <c r="D23" s="7" t="s">
        <v>26</v>
      </c>
      <c r="E23" s="7">
        <v>1500</v>
      </c>
      <c r="F23" s="7">
        <v>0.315</v>
      </c>
      <c r="G23" s="7">
        <f t="shared" si="1"/>
        <v>472.5</v>
      </c>
      <c r="H23" s="7"/>
      <c r="J23" s="7"/>
    </row>
    <row r="24" spans="1:10">
      <c r="A24" s="7"/>
      <c r="B24" s="62"/>
      <c r="C24" s="62"/>
      <c r="D24" s="7" t="s">
        <v>26</v>
      </c>
      <c r="E24" s="7">
        <v>2000</v>
      </c>
      <c r="F24" s="7">
        <v>0.30000000000000004</v>
      </c>
      <c r="G24" s="7">
        <f t="shared" si="1"/>
        <v>600.00000000000011</v>
      </c>
      <c r="H24" s="7"/>
      <c r="J24" s="7"/>
    </row>
    <row r="25" spans="1:10">
      <c r="A25" s="7"/>
      <c r="B25" s="62"/>
      <c r="C25" s="62"/>
      <c r="D25" s="7" t="s">
        <v>26</v>
      </c>
      <c r="E25" s="7">
        <v>2500</v>
      </c>
      <c r="F25" s="7">
        <v>0.28500000000000003</v>
      </c>
      <c r="G25" s="7">
        <f t="shared" si="1"/>
        <v>712.50000000000011</v>
      </c>
      <c r="H25" s="7"/>
      <c r="J25" s="7"/>
    </row>
    <row r="26" spans="1:10">
      <c r="A26" s="7"/>
      <c r="B26" s="62"/>
      <c r="C26" s="62"/>
      <c r="D26" s="7" t="s">
        <v>26</v>
      </c>
      <c r="E26" s="7">
        <v>5000</v>
      </c>
      <c r="F26" s="7">
        <v>0.26249999999999996</v>
      </c>
      <c r="G26" s="7">
        <f t="shared" si="1"/>
        <v>1312.4999999999998</v>
      </c>
      <c r="H26" s="7"/>
      <c r="J26" s="7"/>
    </row>
    <row r="27" spans="1:10">
      <c r="A27" s="7"/>
      <c r="B27" s="17"/>
      <c r="C27" s="17"/>
      <c r="D27" s="7"/>
      <c r="E27" s="7"/>
      <c r="F27" s="7"/>
      <c r="G27" s="7"/>
      <c r="H27" s="7"/>
      <c r="I27" s="7"/>
      <c r="J27" s="7"/>
    </row>
    <row r="28" spans="1:10">
      <c r="A28" s="7"/>
      <c r="B28" s="17"/>
      <c r="C28" s="17"/>
      <c r="D28" s="7"/>
      <c r="E28" s="7"/>
      <c r="F28" s="7"/>
      <c r="G28" s="7"/>
      <c r="H28" s="7"/>
      <c r="I28" s="7"/>
      <c r="J28" s="7"/>
    </row>
    <row r="29" spans="1:10">
      <c r="A29" s="7"/>
      <c r="B29" s="17"/>
      <c r="C29" s="17"/>
      <c r="D29" s="7"/>
      <c r="E29" s="7"/>
      <c r="F29" s="7"/>
      <c r="G29" s="7"/>
      <c r="H29" s="7"/>
      <c r="I29" s="7"/>
      <c r="J29" s="7"/>
    </row>
    <row r="30" spans="1:10">
      <c r="A30" s="7"/>
      <c r="B30" s="17"/>
      <c r="C30" s="17"/>
      <c r="D30" s="7"/>
      <c r="E30" s="7"/>
      <c r="F30" s="7"/>
      <c r="G30" s="7"/>
      <c r="H30" s="7"/>
      <c r="I30" s="7"/>
      <c r="J30" s="7"/>
    </row>
    <row r="31" spans="1:10">
      <c r="A31" s="7"/>
      <c r="B31" s="17"/>
      <c r="C31" s="17"/>
      <c r="D31" s="7"/>
      <c r="E31" s="7"/>
      <c r="F31" s="7"/>
      <c r="G31" s="7"/>
      <c r="H31" s="7"/>
      <c r="I31" s="7"/>
      <c r="J31" s="7"/>
    </row>
    <row r="32" spans="1:10">
      <c r="A32" s="7"/>
      <c r="B32" s="17"/>
      <c r="C32" s="17"/>
      <c r="D32" s="7"/>
      <c r="E32" s="7"/>
      <c r="F32" s="7"/>
      <c r="G32" s="7"/>
      <c r="H32" s="7"/>
      <c r="I32" s="7"/>
      <c r="J32" s="7"/>
    </row>
    <row r="33" spans="1:10">
      <c r="A33" s="7"/>
      <c r="B33" s="17"/>
      <c r="C33" s="17"/>
      <c r="D33" s="7"/>
      <c r="E33" s="7"/>
      <c r="F33" s="7"/>
      <c r="G33" s="7"/>
      <c r="H33" s="7"/>
      <c r="I33" s="7"/>
      <c r="J33" s="7"/>
    </row>
    <row r="34" spans="1:10">
      <c r="A34" s="7"/>
      <c r="B34" s="17"/>
      <c r="C34" s="17"/>
      <c r="D34" s="7"/>
      <c r="E34" s="7"/>
      <c r="F34" s="7"/>
      <c r="G34" s="7"/>
      <c r="H34" s="7"/>
      <c r="I34" s="7"/>
      <c r="J34" s="7"/>
    </row>
    <row r="35" spans="1:10">
      <c r="A35" s="7"/>
      <c r="B35" s="17"/>
      <c r="C35" s="17"/>
      <c r="D35" s="7"/>
      <c r="E35" s="7"/>
      <c r="F35" s="7"/>
      <c r="G35" s="7"/>
      <c r="H35" s="7"/>
      <c r="I35" s="7"/>
      <c r="J35" s="7"/>
    </row>
    <row r="36" spans="1:10" ht="15.75" customHeight="1">
      <c r="A36" s="7"/>
      <c r="B36" s="1" t="s">
        <v>0</v>
      </c>
      <c r="C36" s="1" t="s">
        <v>1</v>
      </c>
      <c r="D36" s="1" t="s">
        <v>2</v>
      </c>
      <c r="E36" s="1" t="s">
        <v>4</v>
      </c>
      <c r="F36" s="1" t="s">
        <v>19</v>
      </c>
      <c r="G36" s="1" t="s">
        <v>20</v>
      </c>
      <c r="I36" s="1"/>
      <c r="J36" s="18" t="s">
        <v>29</v>
      </c>
    </row>
    <row r="37" spans="1:10">
      <c r="A37" s="7"/>
      <c r="B37" s="68" t="s">
        <v>30</v>
      </c>
      <c r="C37" s="68" t="s">
        <v>31</v>
      </c>
      <c r="D37" s="7" t="s">
        <v>26</v>
      </c>
      <c r="E37" s="7">
        <v>25</v>
      </c>
      <c r="F37" s="7">
        <v>0.375</v>
      </c>
      <c r="G37" s="7">
        <f>SUM(E37*F17)</f>
        <v>10.500000000000002</v>
      </c>
      <c r="I37" s="7"/>
      <c r="J37" s="7"/>
    </row>
    <row r="38" spans="1:10">
      <c r="A38" s="7"/>
      <c r="B38" s="62"/>
      <c r="C38" s="62"/>
      <c r="D38" s="7" t="s">
        <v>26</v>
      </c>
      <c r="E38" s="7">
        <v>50</v>
      </c>
      <c r="F38" s="7">
        <v>0.35249999999999998</v>
      </c>
      <c r="G38" s="7">
        <f t="shared" ref="G38:G46" si="2">SUM(E38*F18)</f>
        <v>27.375</v>
      </c>
      <c r="I38" s="7"/>
      <c r="J38" s="7"/>
    </row>
    <row r="39" spans="1:10">
      <c r="A39" s="7"/>
      <c r="B39" s="62"/>
      <c r="C39" s="62"/>
      <c r="D39" s="7" t="s">
        <v>26</v>
      </c>
      <c r="E39" s="7">
        <v>100</v>
      </c>
      <c r="F39" s="7">
        <v>0.36749999999999999</v>
      </c>
      <c r="G39" s="7">
        <f t="shared" si="2"/>
        <v>60.000000000000007</v>
      </c>
      <c r="I39" s="7"/>
      <c r="J39" s="7"/>
    </row>
    <row r="40" spans="1:10">
      <c r="A40" s="7"/>
      <c r="B40" s="62"/>
      <c r="C40" s="62"/>
      <c r="D40" s="7" t="s">
        <v>26</v>
      </c>
      <c r="E40" s="7">
        <v>250</v>
      </c>
      <c r="F40" s="7">
        <v>0.29249999999999998</v>
      </c>
      <c r="G40" s="7">
        <f t="shared" si="2"/>
        <v>106.875</v>
      </c>
      <c r="I40" s="7"/>
      <c r="J40" s="7"/>
    </row>
    <row r="41" spans="1:10" ht="15">
      <c r="A41" s="7"/>
      <c r="B41" s="62"/>
      <c r="C41" s="62"/>
      <c r="D41" s="7" t="s">
        <v>26</v>
      </c>
      <c r="E41" s="7">
        <v>500</v>
      </c>
      <c r="F41" s="7">
        <v>0.22499999999999998</v>
      </c>
      <c r="G41" s="7">
        <f t="shared" si="2"/>
        <v>153.75</v>
      </c>
      <c r="I41" s="7"/>
      <c r="J41" s="7"/>
    </row>
    <row r="42" spans="1:10" ht="15">
      <c r="A42" s="7"/>
      <c r="B42" s="62"/>
      <c r="C42" s="62"/>
      <c r="D42" s="7" t="s">
        <v>26</v>
      </c>
      <c r="E42" s="7">
        <v>1000</v>
      </c>
      <c r="F42" s="7">
        <v>0.21000000000000002</v>
      </c>
      <c r="G42" s="7">
        <f t="shared" si="2"/>
        <v>315</v>
      </c>
      <c r="I42" s="7"/>
      <c r="J42" s="7"/>
    </row>
    <row r="43" spans="1:10" ht="15">
      <c r="A43" s="7"/>
      <c r="B43" s="62"/>
      <c r="C43" s="62"/>
      <c r="D43" s="7" t="s">
        <v>26</v>
      </c>
      <c r="E43" s="7">
        <v>1500</v>
      </c>
      <c r="F43" s="7">
        <v>0.20250000000000001</v>
      </c>
      <c r="G43" s="7">
        <f t="shared" si="2"/>
        <v>472.5</v>
      </c>
      <c r="I43" s="7"/>
      <c r="J43" s="7"/>
    </row>
    <row r="44" spans="1:10" ht="15">
      <c r="A44" s="7"/>
      <c r="B44" s="62"/>
      <c r="C44" s="62"/>
      <c r="D44" s="7" t="s">
        <v>26</v>
      </c>
      <c r="E44" s="7">
        <v>2000</v>
      </c>
      <c r="F44" s="7">
        <v>0.19500000000000001</v>
      </c>
      <c r="G44" s="7">
        <f t="shared" si="2"/>
        <v>600.00000000000011</v>
      </c>
      <c r="I44" s="7"/>
      <c r="J44" s="7"/>
    </row>
    <row r="45" spans="1:10" ht="15">
      <c r="A45" s="7"/>
      <c r="B45" s="62"/>
      <c r="C45" s="62"/>
      <c r="D45" s="7" t="s">
        <v>26</v>
      </c>
      <c r="E45" s="7">
        <v>2500</v>
      </c>
      <c r="F45" s="7">
        <v>0.1875</v>
      </c>
      <c r="G45" s="7">
        <f t="shared" si="2"/>
        <v>712.50000000000011</v>
      </c>
      <c r="I45" s="7"/>
      <c r="J45" s="7"/>
    </row>
    <row r="46" spans="1:10" ht="15">
      <c r="A46" s="7"/>
      <c r="B46" s="62"/>
      <c r="C46" s="62"/>
      <c r="D46" s="7" t="s">
        <v>26</v>
      </c>
      <c r="E46" s="7">
        <v>5000</v>
      </c>
      <c r="F46" s="7">
        <v>0.17250000000000001</v>
      </c>
      <c r="G46" s="7">
        <f t="shared" si="2"/>
        <v>1312.4999999999998</v>
      </c>
      <c r="I46" s="7"/>
      <c r="J46" s="7"/>
    </row>
    <row r="47" spans="1:10" ht="15">
      <c r="A47" s="7"/>
      <c r="B47" s="7"/>
      <c r="C47" s="7"/>
      <c r="D47" s="7"/>
      <c r="E47" s="7"/>
      <c r="F47" s="7"/>
      <c r="G47" s="7"/>
      <c r="H47" s="7"/>
      <c r="I47" s="7"/>
      <c r="J47" s="7"/>
    </row>
    <row r="48" spans="1:10" ht="15">
      <c r="A48" s="7"/>
      <c r="B48" s="7"/>
      <c r="C48" s="7"/>
      <c r="D48" s="7"/>
      <c r="E48" s="7"/>
      <c r="F48" s="7"/>
      <c r="G48" s="7"/>
      <c r="H48" s="7"/>
      <c r="I48" s="7"/>
      <c r="J48" s="7"/>
    </row>
    <row r="49" spans="1:10" ht="15">
      <c r="A49" s="7"/>
      <c r="B49" s="7"/>
      <c r="C49" s="7"/>
      <c r="D49" s="7"/>
      <c r="E49" s="7"/>
      <c r="F49" s="7"/>
      <c r="G49" s="7"/>
      <c r="H49" s="7"/>
      <c r="I49" s="7"/>
      <c r="J49" s="7"/>
    </row>
    <row r="50" spans="1:10" ht="15.6">
      <c r="A50" s="7"/>
      <c r="B50" s="1" t="s">
        <v>0</v>
      </c>
      <c r="C50" s="1" t="s">
        <v>1</v>
      </c>
      <c r="D50" s="1" t="s">
        <v>2</v>
      </c>
      <c r="E50" s="1" t="s">
        <v>4</v>
      </c>
      <c r="F50" s="1" t="s">
        <v>27</v>
      </c>
      <c r="G50" s="1" t="s">
        <v>32</v>
      </c>
      <c r="H50" s="1"/>
      <c r="I50" s="1"/>
      <c r="J50" s="18" t="s">
        <v>29</v>
      </c>
    </row>
    <row r="51" spans="1:10" ht="15">
      <c r="A51" s="7"/>
      <c r="B51" s="68" t="s">
        <v>30</v>
      </c>
      <c r="C51" s="68" t="s">
        <v>31</v>
      </c>
      <c r="D51" s="7" t="s">
        <v>26</v>
      </c>
      <c r="E51" s="7">
        <v>25</v>
      </c>
      <c r="F51" s="7">
        <v>0.64500000000000002</v>
      </c>
      <c r="G51" s="7">
        <f>SUM(E51*F51)</f>
        <v>16.125</v>
      </c>
      <c r="H51" s="7"/>
      <c r="I51" s="7"/>
      <c r="J51" s="7"/>
    </row>
    <row r="52" spans="1:10" ht="15">
      <c r="A52" s="7"/>
      <c r="B52" s="62"/>
      <c r="C52" s="62"/>
      <c r="D52" s="7" t="s">
        <v>26</v>
      </c>
      <c r="E52" s="7">
        <v>50</v>
      </c>
      <c r="F52" s="7">
        <v>0.59250000000000003</v>
      </c>
      <c r="G52" s="7">
        <f t="shared" ref="G52:G60" si="3">SUM(E52*F52)</f>
        <v>29.625</v>
      </c>
      <c r="H52" s="7"/>
      <c r="I52" s="7"/>
      <c r="J52" s="7"/>
    </row>
    <row r="53" spans="1:10" ht="15">
      <c r="A53" s="7"/>
      <c r="B53" s="62"/>
      <c r="C53" s="62"/>
      <c r="D53" s="7" t="s">
        <v>26</v>
      </c>
      <c r="E53" s="7">
        <v>100</v>
      </c>
      <c r="F53" s="7">
        <v>0.63</v>
      </c>
      <c r="G53" s="7">
        <f t="shared" si="3"/>
        <v>63</v>
      </c>
      <c r="H53" s="7"/>
      <c r="I53" s="7"/>
      <c r="J53" s="7"/>
    </row>
    <row r="54" spans="1:10" ht="15">
      <c r="A54" s="7"/>
      <c r="B54" s="62"/>
      <c r="C54" s="62"/>
      <c r="D54" s="7" t="s">
        <v>26</v>
      </c>
      <c r="E54" s="7">
        <v>250</v>
      </c>
      <c r="F54" s="7">
        <v>0.46499999999999997</v>
      </c>
      <c r="G54" s="7">
        <f t="shared" si="3"/>
        <v>116.24999999999999</v>
      </c>
      <c r="H54" s="7"/>
      <c r="I54" s="7"/>
      <c r="J54" s="7"/>
    </row>
    <row r="55" spans="1:10" ht="15">
      <c r="A55" s="7"/>
      <c r="B55" s="62"/>
      <c r="C55" s="62"/>
      <c r="D55" s="7" t="s">
        <v>26</v>
      </c>
      <c r="E55" s="7">
        <v>500</v>
      </c>
      <c r="F55" s="7">
        <v>0.36</v>
      </c>
      <c r="G55" s="7">
        <f t="shared" si="3"/>
        <v>180</v>
      </c>
      <c r="H55" s="7"/>
      <c r="I55" s="7"/>
      <c r="J55" s="7"/>
    </row>
    <row r="56" spans="1:10" ht="15">
      <c r="A56" s="7"/>
      <c r="B56" s="62"/>
      <c r="C56" s="62"/>
      <c r="D56" s="7" t="s">
        <v>26</v>
      </c>
      <c r="E56" s="7">
        <v>1000</v>
      </c>
      <c r="F56" s="7">
        <v>0.33750000000000002</v>
      </c>
      <c r="G56" s="7">
        <f t="shared" si="3"/>
        <v>337.5</v>
      </c>
      <c r="H56" s="7"/>
      <c r="I56" s="7"/>
      <c r="J56" s="7"/>
    </row>
    <row r="57" spans="1:10" ht="15">
      <c r="A57" s="7"/>
      <c r="B57" s="62"/>
      <c r="C57" s="62"/>
      <c r="D57" s="7" t="s">
        <v>26</v>
      </c>
      <c r="E57" s="7">
        <v>1500</v>
      </c>
      <c r="F57" s="7">
        <v>0.32250000000000001</v>
      </c>
      <c r="G57" s="7">
        <f t="shared" si="3"/>
        <v>483.75</v>
      </c>
      <c r="H57" s="7"/>
      <c r="I57" s="7"/>
      <c r="J57" s="7"/>
    </row>
    <row r="58" spans="1:10" ht="15">
      <c r="A58" s="7"/>
      <c r="B58" s="62"/>
      <c r="C58" s="62"/>
      <c r="D58" s="7" t="s">
        <v>26</v>
      </c>
      <c r="E58" s="7">
        <v>2000</v>
      </c>
      <c r="F58" s="7">
        <v>0.315</v>
      </c>
      <c r="G58" s="7">
        <f t="shared" si="3"/>
        <v>630</v>
      </c>
      <c r="H58" s="7"/>
      <c r="I58" s="7"/>
      <c r="J58" s="7"/>
    </row>
    <row r="59" spans="1:10" ht="15">
      <c r="A59" s="7"/>
      <c r="B59" s="62"/>
      <c r="C59" s="62"/>
      <c r="D59" s="7" t="s">
        <v>26</v>
      </c>
      <c r="E59" s="7">
        <v>2500</v>
      </c>
      <c r="F59" s="7">
        <v>0.30000000000000004</v>
      </c>
      <c r="G59" s="7">
        <f t="shared" si="3"/>
        <v>750.00000000000011</v>
      </c>
      <c r="H59" s="7"/>
      <c r="I59" s="7"/>
      <c r="J59" s="7"/>
    </row>
    <row r="60" spans="1:10" ht="15">
      <c r="A60" s="7"/>
      <c r="B60" s="62"/>
      <c r="C60" s="62"/>
      <c r="D60" s="7" t="s">
        <v>26</v>
      </c>
      <c r="E60" s="7">
        <v>5000</v>
      </c>
      <c r="F60" s="7">
        <v>0.27749999999999997</v>
      </c>
      <c r="G60" s="7">
        <f t="shared" si="3"/>
        <v>1387.4999999999998</v>
      </c>
      <c r="H60" s="7"/>
      <c r="I60" s="7"/>
      <c r="J60" s="7"/>
    </row>
    <row r="61" spans="1:10" ht="15">
      <c r="A61" s="7"/>
      <c r="B61" s="17"/>
      <c r="C61" s="17"/>
      <c r="D61" s="7"/>
      <c r="E61" s="7"/>
      <c r="F61" s="7"/>
      <c r="G61" s="7"/>
      <c r="H61" s="7"/>
      <c r="I61" s="7"/>
      <c r="J61" s="7"/>
    </row>
    <row r="62" spans="1:10" ht="15">
      <c r="A62" s="7"/>
      <c r="B62" s="17"/>
      <c r="C62" s="17"/>
      <c r="D62" s="7"/>
      <c r="E62" s="7"/>
      <c r="F62" s="7"/>
      <c r="G62" s="7"/>
      <c r="H62" s="7"/>
      <c r="I62" s="7"/>
      <c r="J62" s="7"/>
    </row>
    <row r="63" spans="1:10" ht="15">
      <c r="A63" s="7"/>
      <c r="B63" s="17"/>
      <c r="C63" s="17"/>
      <c r="D63" s="7"/>
      <c r="E63" s="7"/>
      <c r="F63" s="7"/>
      <c r="G63" s="7"/>
      <c r="H63" s="7"/>
      <c r="I63" s="7"/>
      <c r="J63" s="7"/>
    </row>
    <row r="64" spans="1:10" ht="15">
      <c r="A64" s="7"/>
      <c r="B64" s="17"/>
      <c r="C64" s="17"/>
      <c r="D64" s="7"/>
      <c r="E64" s="7"/>
      <c r="F64" s="7"/>
      <c r="G64" s="7"/>
      <c r="H64" s="7"/>
      <c r="I64" s="7"/>
      <c r="J64" s="7"/>
    </row>
    <row r="65" spans="1:10" ht="15.6">
      <c r="A65" s="7"/>
      <c r="B65" s="1" t="s">
        <v>0</v>
      </c>
      <c r="C65" s="1" t="s">
        <v>1</v>
      </c>
      <c r="D65" s="1" t="s">
        <v>2</v>
      </c>
      <c r="E65" s="1" t="s">
        <v>4</v>
      </c>
      <c r="F65" s="1" t="s">
        <v>5</v>
      </c>
      <c r="G65" s="1" t="s">
        <v>33</v>
      </c>
      <c r="H65" s="1" t="s">
        <v>20</v>
      </c>
      <c r="I65" s="1" t="s">
        <v>34</v>
      </c>
      <c r="J65" s="18" t="s">
        <v>29</v>
      </c>
    </row>
    <row r="66" spans="1:10" ht="15">
      <c r="A66" s="7"/>
      <c r="B66" s="68" t="s">
        <v>30</v>
      </c>
      <c r="C66" s="68" t="s">
        <v>35</v>
      </c>
      <c r="D66" s="7" t="s">
        <v>26</v>
      </c>
      <c r="E66" s="7">
        <v>25</v>
      </c>
      <c r="F66" s="7">
        <v>0.375</v>
      </c>
      <c r="G66" s="7">
        <v>0.64500000000000002</v>
      </c>
      <c r="H66" s="7">
        <f>SUM(E66*F66)</f>
        <v>9.375</v>
      </c>
      <c r="I66" s="7">
        <f>SUM(E66,F66+G66)</f>
        <v>26.02</v>
      </c>
      <c r="J66" s="7"/>
    </row>
    <row r="67" spans="1:10" ht="15">
      <c r="A67" s="7"/>
      <c r="B67" s="62"/>
      <c r="C67" s="62"/>
      <c r="D67" s="7" t="s">
        <v>26</v>
      </c>
      <c r="E67" s="7">
        <v>50</v>
      </c>
      <c r="F67" s="7">
        <v>0.35249999999999998</v>
      </c>
      <c r="G67" s="7">
        <v>0.59250000000000003</v>
      </c>
      <c r="H67" s="7">
        <f t="shared" ref="H67:H75" si="4">SUM(E67*F67)</f>
        <v>17.625</v>
      </c>
      <c r="I67" s="7">
        <f t="shared" ref="I67:I75" si="5">SUM(E67,F67+G67)</f>
        <v>50.945</v>
      </c>
      <c r="J67" s="7"/>
    </row>
    <row r="68" spans="1:10" ht="15">
      <c r="A68" s="7"/>
      <c r="B68" s="62"/>
      <c r="C68" s="62"/>
      <c r="D68" s="7" t="s">
        <v>26</v>
      </c>
      <c r="E68" s="7">
        <v>100</v>
      </c>
      <c r="F68" s="7">
        <v>0.36749999999999999</v>
      </c>
      <c r="G68" s="7">
        <v>0.63</v>
      </c>
      <c r="H68" s="7">
        <f t="shared" si="4"/>
        <v>36.75</v>
      </c>
      <c r="I68" s="7">
        <f t="shared" si="5"/>
        <v>100.9975</v>
      </c>
      <c r="J68" s="7"/>
    </row>
    <row r="69" spans="1:10" ht="15">
      <c r="A69" s="7"/>
      <c r="B69" s="62"/>
      <c r="C69" s="62"/>
      <c r="D69" s="7" t="s">
        <v>26</v>
      </c>
      <c r="E69" s="7">
        <v>250</v>
      </c>
      <c r="F69" s="7">
        <v>0.29249999999999998</v>
      </c>
      <c r="G69" s="7">
        <v>0.46499999999999997</v>
      </c>
      <c r="H69" s="7">
        <f t="shared" si="4"/>
        <v>73.125</v>
      </c>
      <c r="I69" s="7">
        <f t="shared" si="5"/>
        <v>250.75749999999999</v>
      </c>
      <c r="J69" s="7"/>
    </row>
    <row r="70" spans="1:10" ht="15">
      <c r="A70" s="7"/>
      <c r="B70" s="62"/>
      <c r="C70" s="62"/>
      <c r="D70" s="7" t="s">
        <v>26</v>
      </c>
      <c r="E70" s="7">
        <v>500</v>
      </c>
      <c r="F70" s="7">
        <v>0.22499999999999998</v>
      </c>
      <c r="G70" s="7">
        <v>0.36</v>
      </c>
      <c r="H70" s="7">
        <f t="shared" si="4"/>
        <v>112.49999999999999</v>
      </c>
      <c r="I70" s="7">
        <f t="shared" si="5"/>
        <v>500.58499999999998</v>
      </c>
      <c r="J70" s="7"/>
    </row>
    <row r="71" spans="1:10" ht="15">
      <c r="A71" s="7"/>
      <c r="B71" s="62"/>
      <c r="C71" s="62"/>
      <c r="D71" s="7" t="s">
        <v>26</v>
      </c>
      <c r="E71" s="7">
        <v>1000</v>
      </c>
      <c r="F71" s="7">
        <v>0.21000000000000002</v>
      </c>
      <c r="G71" s="7">
        <v>0.33750000000000002</v>
      </c>
      <c r="H71" s="7">
        <f t="shared" si="4"/>
        <v>210.00000000000003</v>
      </c>
      <c r="I71" s="7">
        <f t="shared" si="5"/>
        <v>1000.5475</v>
      </c>
      <c r="J71" s="7"/>
    </row>
    <row r="72" spans="1:10" ht="15">
      <c r="A72" s="7"/>
      <c r="B72" s="62"/>
      <c r="C72" s="62"/>
      <c r="D72" s="7" t="s">
        <v>26</v>
      </c>
      <c r="E72" s="7">
        <v>1500</v>
      </c>
      <c r="F72" s="7">
        <v>0.20250000000000001</v>
      </c>
      <c r="G72" s="7">
        <v>0.32250000000000001</v>
      </c>
      <c r="H72" s="7">
        <f t="shared" si="4"/>
        <v>303.75</v>
      </c>
      <c r="I72" s="7">
        <f t="shared" si="5"/>
        <v>1500.5250000000001</v>
      </c>
      <c r="J72" s="7"/>
    </row>
    <row r="73" spans="1:10" ht="15">
      <c r="A73" s="7"/>
      <c r="B73" s="62"/>
      <c r="C73" s="62"/>
      <c r="D73" s="7" t="s">
        <v>26</v>
      </c>
      <c r="E73" s="7">
        <v>2000</v>
      </c>
      <c r="F73" s="7">
        <v>0.19500000000000001</v>
      </c>
      <c r="G73" s="7">
        <v>0.315</v>
      </c>
      <c r="H73" s="7">
        <f t="shared" si="4"/>
        <v>390</v>
      </c>
      <c r="I73" s="7">
        <f t="shared" si="5"/>
        <v>2000.51</v>
      </c>
      <c r="J73" s="7"/>
    </row>
    <row r="74" spans="1:10" ht="15">
      <c r="A74" s="7"/>
      <c r="B74" s="62"/>
      <c r="C74" s="62"/>
      <c r="D74" s="7" t="s">
        <v>26</v>
      </c>
      <c r="E74" s="7">
        <v>2500</v>
      </c>
      <c r="F74" s="7">
        <v>0.1875</v>
      </c>
      <c r="G74" s="7">
        <v>0.30000000000000004</v>
      </c>
      <c r="H74" s="7">
        <f t="shared" si="4"/>
        <v>468.75</v>
      </c>
      <c r="I74" s="7">
        <f t="shared" si="5"/>
        <v>2500.4875000000002</v>
      </c>
      <c r="J74" s="7"/>
    </row>
    <row r="75" spans="1:10" ht="15">
      <c r="A75" s="7"/>
      <c r="B75" s="62"/>
      <c r="C75" s="62"/>
      <c r="D75" s="7" t="s">
        <v>26</v>
      </c>
      <c r="E75" s="7">
        <v>5000</v>
      </c>
      <c r="F75" s="7">
        <v>0.17250000000000001</v>
      </c>
      <c r="G75" s="7">
        <v>0.27749999999999997</v>
      </c>
      <c r="H75" s="7">
        <f t="shared" si="4"/>
        <v>862.50000000000011</v>
      </c>
      <c r="I75" s="7">
        <f t="shared" si="5"/>
        <v>5000.45</v>
      </c>
      <c r="J75" s="7"/>
    </row>
    <row r="76" spans="1:10" ht="15">
      <c r="A76" s="7"/>
      <c r="B76" s="7"/>
      <c r="C76" s="7"/>
      <c r="D76" s="7"/>
      <c r="E76" s="7"/>
      <c r="F76" s="7"/>
      <c r="G76" s="7"/>
      <c r="H76" s="7"/>
      <c r="I76" s="7"/>
      <c r="J76" s="7"/>
    </row>
    <row r="77" spans="1:10" ht="15">
      <c r="A77" s="7"/>
      <c r="B77" s="7"/>
      <c r="C77" s="7"/>
      <c r="D77" s="7"/>
      <c r="E77" s="7"/>
      <c r="F77" s="7"/>
      <c r="G77" s="7"/>
      <c r="H77" s="7"/>
      <c r="I77" s="7"/>
      <c r="J77" s="7"/>
    </row>
    <row r="78" spans="1:10" ht="15.6">
      <c r="A78" s="7"/>
      <c r="B78" s="1" t="s">
        <v>0</v>
      </c>
      <c r="C78" s="1" t="s">
        <v>1</v>
      </c>
      <c r="D78" s="1" t="s">
        <v>2</v>
      </c>
      <c r="E78" s="1" t="s">
        <v>4</v>
      </c>
      <c r="F78" s="1" t="s">
        <v>5</v>
      </c>
      <c r="G78" s="1" t="s">
        <v>33</v>
      </c>
      <c r="H78" s="1" t="s">
        <v>20</v>
      </c>
      <c r="I78" s="1" t="s">
        <v>34</v>
      </c>
      <c r="J78" s="18" t="s">
        <v>29</v>
      </c>
    </row>
    <row r="79" spans="1:10" ht="15">
      <c r="A79" s="7"/>
      <c r="B79" s="68" t="s">
        <v>30</v>
      </c>
      <c r="C79" s="68" t="s">
        <v>35</v>
      </c>
      <c r="D79" s="7" t="s">
        <v>26</v>
      </c>
      <c r="E79" s="7">
        <v>25</v>
      </c>
      <c r="F79" s="7">
        <v>0.375</v>
      </c>
      <c r="G79" s="7">
        <v>0.64500000000000002</v>
      </c>
      <c r="H79" s="7" t="e">
        <f t="shared" ref="H79:H88" ca="1" si="6">MULTIPLY(E79,F79)</f>
        <v>#NAME?</v>
      </c>
      <c r="I79" s="7" t="e">
        <f t="shared" ref="I79:I88" ca="1" si="7">MULTIPLY(E79,F79+G79)</f>
        <v>#NAME?</v>
      </c>
      <c r="J79" s="7"/>
    </row>
    <row r="80" spans="1:10" ht="15">
      <c r="A80" s="7"/>
      <c r="B80" s="62"/>
      <c r="C80" s="62"/>
      <c r="D80" s="7" t="s">
        <v>26</v>
      </c>
      <c r="E80" s="7">
        <v>50</v>
      </c>
      <c r="F80" s="7">
        <v>0.35249999999999998</v>
      </c>
      <c r="G80" s="7">
        <v>0.59250000000000003</v>
      </c>
      <c r="H80" s="7" t="e">
        <f t="shared" ca="1" si="6"/>
        <v>#NAME?</v>
      </c>
      <c r="I80" s="7" t="e">
        <f t="shared" ca="1" si="7"/>
        <v>#NAME?</v>
      </c>
      <c r="J80" s="7"/>
    </row>
    <row r="81" spans="1:10" ht="15">
      <c r="A81" s="7"/>
      <c r="B81" s="62"/>
      <c r="C81" s="62"/>
      <c r="D81" s="7" t="s">
        <v>26</v>
      </c>
      <c r="E81" s="7">
        <v>100</v>
      </c>
      <c r="F81" s="7">
        <v>0.36749999999999999</v>
      </c>
      <c r="G81" s="7">
        <v>0.63</v>
      </c>
      <c r="H81" s="7" t="e">
        <f t="shared" ca="1" si="6"/>
        <v>#NAME?</v>
      </c>
      <c r="I81" s="7" t="e">
        <f t="shared" ca="1" si="7"/>
        <v>#NAME?</v>
      </c>
      <c r="J81" s="7"/>
    </row>
    <row r="82" spans="1:10" ht="15">
      <c r="A82" s="7"/>
      <c r="B82" s="62"/>
      <c r="C82" s="62"/>
      <c r="D82" s="7" t="s">
        <v>26</v>
      </c>
      <c r="E82" s="7">
        <v>250</v>
      </c>
      <c r="F82" s="7">
        <v>0.29249999999999998</v>
      </c>
      <c r="G82" s="7">
        <v>0.46499999999999997</v>
      </c>
      <c r="H82" s="7" t="e">
        <f t="shared" ca="1" si="6"/>
        <v>#NAME?</v>
      </c>
      <c r="I82" s="7" t="e">
        <f t="shared" ca="1" si="7"/>
        <v>#NAME?</v>
      </c>
      <c r="J82" s="7"/>
    </row>
    <row r="83" spans="1:10" ht="15">
      <c r="A83" s="7"/>
      <c r="B83" s="62"/>
      <c r="C83" s="62"/>
      <c r="D83" s="7" t="s">
        <v>26</v>
      </c>
      <c r="E83" s="7">
        <v>500</v>
      </c>
      <c r="F83" s="7">
        <v>0.22499999999999998</v>
      </c>
      <c r="G83" s="7">
        <v>0.36</v>
      </c>
      <c r="H83" s="7" t="e">
        <f t="shared" ca="1" si="6"/>
        <v>#NAME?</v>
      </c>
      <c r="I83" s="7" t="e">
        <f t="shared" ca="1" si="7"/>
        <v>#NAME?</v>
      </c>
      <c r="J83" s="7"/>
    </row>
    <row r="84" spans="1:10" ht="15">
      <c r="A84" s="7"/>
      <c r="B84" s="62"/>
      <c r="C84" s="62"/>
      <c r="D84" s="7" t="s">
        <v>26</v>
      </c>
      <c r="E84" s="7">
        <v>1000</v>
      </c>
      <c r="F84" s="7">
        <v>0.21000000000000002</v>
      </c>
      <c r="G84" s="7">
        <v>0.33750000000000002</v>
      </c>
      <c r="H84" s="7" t="e">
        <f t="shared" ca="1" si="6"/>
        <v>#NAME?</v>
      </c>
      <c r="I84" s="7" t="e">
        <f t="shared" ca="1" si="7"/>
        <v>#NAME?</v>
      </c>
      <c r="J84" s="7"/>
    </row>
    <row r="85" spans="1:10" ht="15">
      <c r="A85" s="7"/>
      <c r="B85" s="62"/>
      <c r="C85" s="62"/>
      <c r="D85" s="7" t="s">
        <v>26</v>
      </c>
      <c r="E85" s="7">
        <v>1500</v>
      </c>
      <c r="F85" s="7">
        <v>0.20250000000000001</v>
      </c>
      <c r="G85" s="7">
        <v>0.32250000000000001</v>
      </c>
      <c r="H85" s="7" t="e">
        <f t="shared" ca="1" si="6"/>
        <v>#NAME?</v>
      </c>
      <c r="I85" s="7" t="e">
        <f t="shared" ca="1" si="7"/>
        <v>#NAME?</v>
      </c>
      <c r="J85" s="7"/>
    </row>
    <row r="86" spans="1:10" ht="15">
      <c r="A86" s="7"/>
      <c r="B86" s="62"/>
      <c r="C86" s="62"/>
      <c r="D86" s="7" t="s">
        <v>26</v>
      </c>
      <c r="E86" s="7">
        <v>2000</v>
      </c>
      <c r="F86" s="7">
        <v>0.19500000000000001</v>
      </c>
      <c r="G86" s="7">
        <v>0.315</v>
      </c>
      <c r="H86" s="7" t="e">
        <f t="shared" ca="1" si="6"/>
        <v>#NAME?</v>
      </c>
      <c r="I86" s="7" t="e">
        <f t="shared" ca="1" si="7"/>
        <v>#NAME?</v>
      </c>
      <c r="J86" s="7"/>
    </row>
    <row r="87" spans="1:10" ht="15">
      <c r="A87" s="7"/>
      <c r="B87" s="62"/>
      <c r="C87" s="62"/>
      <c r="D87" s="7" t="s">
        <v>26</v>
      </c>
      <c r="E87" s="7">
        <v>2500</v>
      </c>
      <c r="F87" s="7">
        <v>0.1875</v>
      </c>
      <c r="G87" s="7">
        <v>0.30000000000000004</v>
      </c>
      <c r="H87" s="7" t="e">
        <f t="shared" ca="1" si="6"/>
        <v>#NAME?</v>
      </c>
      <c r="I87" s="7" t="e">
        <f t="shared" ca="1" si="7"/>
        <v>#NAME?</v>
      </c>
      <c r="J87" s="7"/>
    </row>
    <row r="88" spans="1:10" ht="15">
      <c r="A88" s="7"/>
      <c r="B88" s="62"/>
      <c r="C88" s="62"/>
      <c r="D88" s="7" t="s">
        <v>26</v>
      </c>
      <c r="E88" s="7">
        <v>5000</v>
      </c>
      <c r="F88" s="7">
        <v>0.17250000000000001</v>
      </c>
      <c r="G88" s="7">
        <v>0.27749999999999997</v>
      </c>
      <c r="H88" s="7" t="e">
        <f t="shared" ca="1" si="6"/>
        <v>#NAME?</v>
      </c>
      <c r="I88" s="7" t="e">
        <f t="shared" ca="1" si="7"/>
        <v>#NAME?</v>
      </c>
      <c r="J88" s="7"/>
    </row>
    <row r="89" spans="1:10" ht="15">
      <c r="A89" s="7"/>
      <c r="B89" s="7"/>
      <c r="C89" s="7"/>
      <c r="D89" s="7"/>
      <c r="E89" s="7"/>
      <c r="F89" s="7"/>
      <c r="G89" s="7"/>
      <c r="H89" s="7"/>
      <c r="I89" s="7"/>
      <c r="J89" s="7"/>
    </row>
    <row r="90" spans="1:10" ht="15">
      <c r="A90" s="7"/>
      <c r="B90" s="7"/>
      <c r="C90" s="7"/>
      <c r="D90" s="7"/>
      <c r="E90" s="7"/>
      <c r="F90" s="7"/>
      <c r="G90" s="7"/>
      <c r="H90" s="7"/>
      <c r="I90" s="7"/>
      <c r="J90" s="7"/>
    </row>
    <row r="91" spans="1:10" ht="15.6">
      <c r="A91" s="7"/>
      <c r="B91" s="1" t="s">
        <v>0</v>
      </c>
      <c r="C91" s="1" t="s">
        <v>1</v>
      </c>
      <c r="D91" s="1" t="s">
        <v>2</v>
      </c>
      <c r="E91" s="1" t="s">
        <v>4</v>
      </c>
      <c r="F91" s="1" t="s">
        <v>5</v>
      </c>
      <c r="G91" s="1" t="s">
        <v>33</v>
      </c>
      <c r="H91" s="1" t="s">
        <v>20</v>
      </c>
      <c r="I91" s="1" t="s">
        <v>34</v>
      </c>
      <c r="J91" s="18" t="s">
        <v>29</v>
      </c>
    </row>
    <row r="92" spans="1:10" ht="15">
      <c r="A92" s="7"/>
      <c r="B92" s="68" t="s">
        <v>30</v>
      </c>
      <c r="C92" s="68" t="s">
        <v>36</v>
      </c>
      <c r="D92" s="7" t="s">
        <v>26</v>
      </c>
      <c r="E92" s="7">
        <v>25</v>
      </c>
      <c r="F92" s="7">
        <v>0.40500000000000003</v>
      </c>
      <c r="G92" s="7">
        <v>0.70499999999999996</v>
      </c>
      <c r="H92" s="7" t="e">
        <f t="shared" ref="H92:H101" ca="1" si="8">MULTIPLY(E92,F92)</f>
        <v>#NAME?</v>
      </c>
      <c r="I92" s="7" t="e">
        <f t="shared" ref="I92:I101" ca="1" si="9">MULTIPLY(E92,F92+G92)</f>
        <v>#NAME?</v>
      </c>
      <c r="J92" s="7"/>
    </row>
    <row r="93" spans="1:10" ht="15">
      <c r="A93" s="7"/>
      <c r="B93" s="62"/>
      <c r="C93" s="62"/>
      <c r="D93" s="7" t="s">
        <v>26</v>
      </c>
      <c r="E93" s="7">
        <v>50</v>
      </c>
      <c r="F93" s="7">
        <v>0.39750000000000002</v>
      </c>
      <c r="G93" s="7">
        <v>0.69750000000000001</v>
      </c>
      <c r="H93" s="7" t="e">
        <f t="shared" ca="1" si="8"/>
        <v>#NAME?</v>
      </c>
      <c r="I93" s="7" t="e">
        <f t="shared" ca="1" si="9"/>
        <v>#NAME?</v>
      </c>
      <c r="J93" s="7"/>
    </row>
    <row r="94" spans="1:10" ht="15">
      <c r="A94" s="7"/>
      <c r="B94" s="62"/>
      <c r="C94" s="62"/>
      <c r="D94" s="7" t="s">
        <v>26</v>
      </c>
      <c r="E94" s="7">
        <v>100</v>
      </c>
      <c r="F94" s="7">
        <v>0.40500000000000003</v>
      </c>
      <c r="G94" s="7">
        <v>0.71249999999999991</v>
      </c>
      <c r="H94" s="7" t="e">
        <f t="shared" ca="1" si="8"/>
        <v>#NAME?</v>
      </c>
      <c r="I94" s="7" t="e">
        <f t="shared" ca="1" si="9"/>
        <v>#NAME?</v>
      </c>
      <c r="J94" s="7"/>
    </row>
    <row r="95" spans="1:10" ht="15">
      <c r="A95" s="7"/>
      <c r="B95" s="62"/>
      <c r="C95" s="62"/>
      <c r="D95" s="7" t="s">
        <v>26</v>
      </c>
      <c r="E95" s="7">
        <v>250</v>
      </c>
      <c r="F95" s="7">
        <v>0.38250000000000001</v>
      </c>
      <c r="G95" s="7">
        <v>0.63</v>
      </c>
      <c r="H95" s="7" t="e">
        <f t="shared" ca="1" si="8"/>
        <v>#NAME?</v>
      </c>
      <c r="I95" s="7" t="e">
        <f t="shared" ca="1" si="9"/>
        <v>#NAME?</v>
      </c>
      <c r="J95" s="7"/>
    </row>
    <row r="96" spans="1:10" ht="15">
      <c r="A96" s="7"/>
      <c r="B96" s="62"/>
      <c r="C96" s="62"/>
      <c r="D96" s="7" t="s">
        <v>26</v>
      </c>
      <c r="E96" s="7">
        <v>500</v>
      </c>
      <c r="F96" s="7">
        <v>0.33750000000000002</v>
      </c>
      <c r="G96" s="7">
        <v>0.5625</v>
      </c>
      <c r="H96" s="7" t="e">
        <f t="shared" ca="1" si="8"/>
        <v>#NAME?</v>
      </c>
      <c r="I96" s="7" t="e">
        <f t="shared" ca="1" si="9"/>
        <v>#NAME?</v>
      </c>
      <c r="J96" s="7"/>
    </row>
    <row r="97" spans="1:10" ht="15">
      <c r="A97" s="7"/>
      <c r="B97" s="62"/>
      <c r="C97" s="62"/>
      <c r="D97" s="7" t="s">
        <v>26</v>
      </c>
      <c r="E97" s="7">
        <v>1000</v>
      </c>
      <c r="F97" s="7">
        <v>0.27749999999999997</v>
      </c>
      <c r="G97" s="7">
        <v>0.45750000000000002</v>
      </c>
      <c r="H97" s="7" t="e">
        <f t="shared" ca="1" si="8"/>
        <v>#NAME?</v>
      </c>
      <c r="I97" s="7" t="e">
        <f t="shared" ca="1" si="9"/>
        <v>#NAME?</v>
      </c>
      <c r="J97" s="7"/>
    </row>
    <row r="98" spans="1:10" ht="15">
      <c r="A98" s="7"/>
      <c r="B98" s="62"/>
      <c r="C98" s="62"/>
      <c r="D98" s="7" t="s">
        <v>26</v>
      </c>
      <c r="E98" s="7">
        <v>1500</v>
      </c>
      <c r="F98" s="7">
        <v>0.27749999999999997</v>
      </c>
      <c r="G98" s="7">
        <v>0.45750000000000002</v>
      </c>
      <c r="H98" s="7" t="e">
        <f t="shared" ca="1" si="8"/>
        <v>#NAME?</v>
      </c>
      <c r="I98" s="7" t="e">
        <f t="shared" ca="1" si="9"/>
        <v>#NAME?</v>
      </c>
      <c r="J98" s="7"/>
    </row>
    <row r="99" spans="1:10" ht="15">
      <c r="A99" s="7"/>
      <c r="B99" s="62"/>
      <c r="C99" s="62"/>
      <c r="D99" s="7" t="s">
        <v>26</v>
      </c>
      <c r="E99" s="7">
        <v>2000</v>
      </c>
      <c r="F99" s="7">
        <v>0.255</v>
      </c>
      <c r="G99" s="7">
        <v>0.42000000000000004</v>
      </c>
      <c r="H99" s="7" t="e">
        <f t="shared" ca="1" si="8"/>
        <v>#NAME?</v>
      </c>
      <c r="I99" s="7" t="e">
        <f t="shared" ca="1" si="9"/>
        <v>#NAME?</v>
      </c>
      <c r="J99" s="7"/>
    </row>
    <row r="100" spans="1:10" ht="15">
      <c r="A100" s="7"/>
      <c r="B100" s="62"/>
      <c r="C100" s="62"/>
      <c r="D100" s="7" t="s">
        <v>26</v>
      </c>
      <c r="E100" s="7">
        <v>2500</v>
      </c>
      <c r="F100" s="7">
        <v>0.2475</v>
      </c>
      <c r="G100" s="7">
        <v>0.41250000000000003</v>
      </c>
      <c r="H100" s="7" t="e">
        <f t="shared" ca="1" si="8"/>
        <v>#NAME?</v>
      </c>
      <c r="I100" s="7" t="e">
        <f t="shared" ca="1" si="9"/>
        <v>#NAME?</v>
      </c>
      <c r="J100" s="7"/>
    </row>
    <row r="101" spans="1:10" ht="15">
      <c r="A101" s="7"/>
      <c r="B101" s="62"/>
      <c r="C101" s="62"/>
      <c r="D101" s="7" t="s">
        <v>26</v>
      </c>
      <c r="E101" s="7">
        <v>5000</v>
      </c>
      <c r="F101" s="7">
        <v>0.22499999999999998</v>
      </c>
      <c r="G101" s="7">
        <v>0.36749999999999999</v>
      </c>
      <c r="H101" s="7" t="e">
        <f t="shared" ca="1" si="8"/>
        <v>#NAME?</v>
      </c>
      <c r="I101" s="7" t="e">
        <f t="shared" ca="1" si="9"/>
        <v>#NAME?</v>
      </c>
      <c r="J101" s="7"/>
    </row>
  </sheetData>
  <mergeCells count="14">
    <mergeCell ref="B92:B101"/>
    <mergeCell ref="C92:C101"/>
    <mergeCell ref="B4:B13"/>
    <mergeCell ref="C4:C13"/>
    <mergeCell ref="B17:B26"/>
    <mergeCell ref="C17:C26"/>
    <mergeCell ref="B37:B46"/>
    <mergeCell ref="C37:C46"/>
    <mergeCell ref="C51:C60"/>
    <mergeCell ref="B51:B60"/>
    <mergeCell ref="B66:B75"/>
    <mergeCell ref="C66:C75"/>
    <mergeCell ref="B79:B88"/>
    <mergeCell ref="C79:C8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B1:P996"/>
  <sheetViews>
    <sheetView topLeftCell="A49" workbookViewId="0"/>
  </sheetViews>
  <sheetFormatPr defaultColWidth="12.6640625" defaultRowHeight="15.75" customHeight="1"/>
  <cols>
    <col min="2" max="2" width="13.33203125" customWidth="1"/>
    <col min="4" max="4" width="22" customWidth="1"/>
    <col min="5" max="5" width="11.77734375" customWidth="1"/>
    <col min="7" max="8" width="12.44140625" customWidth="1"/>
    <col min="9" max="9" width="16.6640625" customWidth="1"/>
    <col min="10" max="10" width="18.33203125" customWidth="1"/>
    <col min="11" max="11" width="18.77734375" customWidth="1"/>
    <col min="12" max="12" width="19.33203125" customWidth="1"/>
    <col min="13" max="13" width="23.33203125" customWidth="1"/>
  </cols>
  <sheetData>
    <row r="1" spans="2:14">
      <c r="K1" s="19"/>
      <c r="M1" s="19"/>
    </row>
    <row r="2" spans="2:14">
      <c r="B2" s="20" t="s">
        <v>0</v>
      </c>
      <c r="C2" s="20" t="s">
        <v>1</v>
      </c>
      <c r="D2" s="20" t="s">
        <v>2</v>
      </c>
      <c r="E2" s="20" t="s">
        <v>4</v>
      </c>
      <c r="F2" s="20" t="s">
        <v>5</v>
      </c>
      <c r="G2" s="20" t="s">
        <v>38</v>
      </c>
      <c r="H2" s="20" t="s">
        <v>39</v>
      </c>
      <c r="I2" s="20" t="s">
        <v>40</v>
      </c>
      <c r="J2" s="20" t="s">
        <v>41</v>
      </c>
      <c r="K2" s="20" t="s">
        <v>42</v>
      </c>
      <c r="L2" s="20" t="s">
        <v>43</v>
      </c>
      <c r="M2" s="20" t="s">
        <v>44</v>
      </c>
    </row>
    <row r="3" spans="2:14">
      <c r="B3" s="61" t="s">
        <v>45</v>
      </c>
      <c r="C3" s="61" t="s">
        <v>46</v>
      </c>
      <c r="D3" s="6" t="s">
        <v>47</v>
      </c>
      <c r="E3" s="21">
        <v>24</v>
      </c>
      <c r="F3" s="22">
        <v>0.63</v>
      </c>
      <c r="H3" s="22">
        <v>0.75</v>
      </c>
      <c r="I3" s="23">
        <v>0.83</v>
      </c>
      <c r="J3" s="22">
        <v>0.92</v>
      </c>
      <c r="K3" s="23">
        <v>0.96</v>
      </c>
      <c r="L3" s="24">
        <v>1.04</v>
      </c>
      <c r="M3" s="23">
        <v>1.25</v>
      </c>
      <c r="N3" s="25"/>
    </row>
    <row r="4" spans="2:14">
      <c r="B4" s="62"/>
      <c r="C4" s="62"/>
      <c r="D4" s="6" t="s">
        <v>47</v>
      </c>
      <c r="E4" s="26">
        <v>50</v>
      </c>
      <c r="F4" s="24">
        <v>0.4</v>
      </c>
      <c r="H4" s="24">
        <v>0.48</v>
      </c>
      <c r="I4" s="27">
        <v>0.5</v>
      </c>
      <c r="J4" s="24">
        <v>0.54</v>
      </c>
      <c r="K4" s="27">
        <v>0.57999999999999996</v>
      </c>
      <c r="L4" s="22">
        <v>0.62</v>
      </c>
      <c r="M4" s="27">
        <v>0.72</v>
      </c>
      <c r="N4" s="28"/>
    </row>
    <row r="5" spans="2:14">
      <c r="B5" s="62"/>
      <c r="C5" s="62"/>
      <c r="D5" s="6" t="s">
        <v>47</v>
      </c>
      <c r="E5" s="21">
        <v>100</v>
      </c>
      <c r="F5" s="22">
        <v>0.27</v>
      </c>
      <c r="H5" s="22">
        <v>0.36</v>
      </c>
      <c r="I5" s="27">
        <v>0.37</v>
      </c>
      <c r="J5" s="22">
        <v>0.37</v>
      </c>
      <c r="K5" s="27">
        <v>0.46</v>
      </c>
      <c r="L5" s="22">
        <v>0.46</v>
      </c>
      <c r="M5" s="27">
        <v>0.56000000000000005</v>
      </c>
      <c r="N5" s="28"/>
    </row>
    <row r="6" spans="2:14">
      <c r="B6" s="62"/>
      <c r="C6" s="62"/>
      <c r="D6" s="6" t="s">
        <v>47</v>
      </c>
      <c r="E6" s="21">
        <v>250</v>
      </c>
      <c r="F6" s="22">
        <v>0.14000000000000001</v>
      </c>
      <c r="H6" s="22">
        <v>0.18</v>
      </c>
      <c r="I6" s="27">
        <v>0.2</v>
      </c>
      <c r="J6" s="22">
        <v>0.18</v>
      </c>
      <c r="K6" s="27">
        <v>0.24</v>
      </c>
      <c r="L6" s="22">
        <v>0.22</v>
      </c>
      <c r="M6" s="27">
        <v>0.28000000000000003</v>
      </c>
      <c r="N6" s="28"/>
    </row>
    <row r="7" spans="2:14">
      <c r="B7" s="62"/>
      <c r="C7" s="62"/>
      <c r="D7" s="6" t="s">
        <v>47</v>
      </c>
      <c r="E7" s="21">
        <v>500</v>
      </c>
      <c r="F7" s="22">
        <v>0.1</v>
      </c>
      <c r="H7" s="22">
        <v>0.11</v>
      </c>
      <c r="I7" s="27">
        <v>0.14000000000000001</v>
      </c>
      <c r="J7" s="22">
        <v>0.12</v>
      </c>
      <c r="K7" s="27">
        <v>0.15</v>
      </c>
      <c r="L7" s="22">
        <v>0.13</v>
      </c>
      <c r="M7" s="27">
        <v>0.17</v>
      </c>
      <c r="N7" s="28"/>
    </row>
    <row r="8" spans="2:14">
      <c r="B8" s="62"/>
      <c r="C8" s="62"/>
      <c r="D8" s="6" t="s">
        <v>47</v>
      </c>
      <c r="E8" s="21">
        <v>1000</v>
      </c>
      <c r="F8" s="22">
        <v>7.0000000000000007E-2</v>
      </c>
      <c r="H8" s="22">
        <v>0.09</v>
      </c>
      <c r="I8" s="27">
        <v>0.1</v>
      </c>
      <c r="J8" s="22">
        <v>0.09</v>
      </c>
      <c r="K8" s="27">
        <v>0.12</v>
      </c>
      <c r="L8" s="22">
        <v>0.11</v>
      </c>
      <c r="M8" s="27">
        <v>0.13</v>
      </c>
      <c r="N8" s="28"/>
    </row>
    <row r="9" spans="2:14">
      <c r="B9" s="62"/>
      <c r="C9" s="62"/>
      <c r="D9" s="6" t="s">
        <v>47</v>
      </c>
      <c r="E9" s="21">
        <v>1500</v>
      </c>
      <c r="F9" s="22">
        <v>7.0000000000000007E-2</v>
      </c>
      <c r="H9" s="22">
        <v>0.09</v>
      </c>
      <c r="I9" s="27">
        <v>0.09</v>
      </c>
      <c r="J9" s="22">
        <v>0.08</v>
      </c>
      <c r="K9" s="27">
        <v>0.11</v>
      </c>
      <c r="L9" s="22">
        <v>0.1</v>
      </c>
      <c r="M9" s="27">
        <v>0.12</v>
      </c>
      <c r="N9" s="28"/>
    </row>
    <row r="10" spans="2:14">
      <c r="B10" s="62"/>
      <c r="C10" s="62"/>
      <c r="D10" s="6" t="s">
        <v>47</v>
      </c>
      <c r="E10" s="21">
        <v>2000</v>
      </c>
      <c r="F10" s="22">
        <v>7.0000000000000007E-2</v>
      </c>
      <c r="H10" s="22">
        <v>0.09</v>
      </c>
      <c r="I10" s="27">
        <v>0.09</v>
      </c>
      <c r="J10" s="22">
        <v>0.08</v>
      </c>
      <c r="K10" s="27">
        <v>0.11</v>
      </c>
      <c r="L10" s="22">
        <v>0.1</v>
      </c>
      <c r="M10" s="27">
        <v>0.12</v>
      </c>
      <c r="N10" s="28"/>
    </row>
    <row r="11" spans="2:14">
      <c r="B11" s="62"/>
      <c r="C11" s="62"/>
      <c r="D11" s="6" t="s">
        <v>47</v>
      </c>
      <c r="E11" s="21">
        <v>2500</v>
      </c>
      <c r="F11" s="22">
        <v>7.0000000000000007E-2</v>
      </c>
      <c r="H11" s="22">
        <v>0.09</v>
      </c>
      <c r="I11" s="27">
        <v>0.09</v>
      </c>
      <c r="J11" s="22">
        <v>0.08</v>
      </c>
      <c r="K11" s="27">
        <v>0.11</v>
      </c>
      <c r="L11" s="22">
        <v>0.1</v>
      </c>
      <c r="M11" s="27">
        <v>0.11</v>
      </c>
      <c r="N11" s="28"/>
    </row>
    <row r="12" spans="2:14">
      <c r="B12" s="62"/>
      <c r="C12" s="62"/>
      <c r="D12" s="6" t="s">
        <v>47</v>
      </c>
      <c r="E12" s="21">
        <v>5000</v>
      </c>
      <c r="F12" s="22">
        <v>0.06</v>
      </c>
      <c r="H12" s="22">
        <v>0.09</v>
      </c>
      <c r="I12" s="27">
        <v>7.0000000000000007E-2</v>
      </c>
      <c r="J12" s="22">
        <v>0.06</v>
      </c>
      <c r="K12" s="27">
        <v>0.1</v>
      </c>
      <c r="L12" s="22">
        <v>0.09</v>
      </c>
      <c r="M12" s="27">
        <v>0.1</v>
      </c>
      <c r="N12" s="28"/>
    </row>
    <row r="13" spans="2:14">
      <c r="B13" s="62"/>
      <c r="C13" s="62"/>
      <c r="D13" s="6" t="s">
        <v>47</v>
      </c>
      <c r="E13" s="21">
        <v>10000</v>
      </c>
      <c r="F13" s="22">
        <v>0.06</v>
      </c>
      <c r="H13" s="22">
        <v>7.0000000000000007E-2</v>
      </c>
      <c r="I13" s="27">
        <v>0.06</v>
      </c>
      <c r="J13" s="22">
        <v>0.06</v>
      </c>
      <c r="K13" s="27">
        <v>7.0000000000000007E-2</v>
      </c>
      <c r="L13" s="22">
        <v>7.0000000000000007E-2</v>
      </c>
      <c r="M13" s="27">
        <v>0.08</v>
      </c>
      <c r="N13" s="28"/>
    </row>
    <row r="14" spans="2:14">
      <c r="K14" s="19"/>
      <c r="M14" s="19"/>
    </row>
    <row r="15" spans="2:14">
      <c r="K15" s="19"/>
      <c r="M15" s="19"/>
    </row>
    <row r="16" spans="2:14">
      <c r="B16" s="20" t="s">
        <v>0</v>
      </c>
      <c r="C16" s="20" t="s">
        <v>1</v>
      </c>
      <c r="D16" s="20" t="s">
        <v>2</v>
      </c>
      <c r="E16" s="20" t="s">
        <v>4</v>
      </c>
      <c r="F16" s="20" t="s">
        <v>5</v>
      </c>
      <c r="G16" s="20" t="s">
        <v>38</v>
      </c>
      <c r="H16" s="20" t="s">
        <v>39</v>
      </c>
      <c r="I16" s="20" t="s">
        <v>40</v>
      </c>
      <c r="J16" s="20" t="s">
        <v>41</v>
      </c>
      <c r="K16" s="20" t="s">
        <v>42</v>
      </c>
      <c r="L16" s="20" t="s">
        <v>43</v>
      </c>
      <c r="M16" s="20" t="s">
        <v>44</v>
      </c>
      <c r="N16" s="25"/>
    </row>
    <row r="17" spans="2:14">
      <c r="B17" s="61" t="s">
        <v>45</v>
      </c>
      <c r="C17" s="61" t="s">
        <v>46</v>
      </c>
      <c r="D17" s="19" t="s">
        <v>48</v>
      </c>
      <c r="E17" s="26">
        <v>50</v>
      </c>
      <c r="F17" s="29">
        <v>0.4</v>
      </c>
      <c r="G17" s="29">
        <v>0.5</v>
      </c>
      <c r="H17" s="29">
        <v>0.48</v>
      </c>
      <c r="I17" s="29">
        <v>0.57999999999999996</v>
      </c>
      <c r="J17" s="29">
        <v>0.54</v>
      </c>
      <c r="K17" s="29">
        <v>0.64</v>
      </c>
      <c r="L17" s="29">
        <v>0.62</v>
      </c>
      <c r="M17" s="29">
        <v>0.72</v>
      </c>
      <c r="N17" s="25"/>
    </row>
    <row r="18" spans="2:14">
      <c r="B18" s="62"/>
      <c r="C18" s="62"/>
      <c r="D18" s="19" t="s">
        <v>48</v>
      </c>
      <c r="E18" s="21">
        <v>100</v>
      </c>
      <c r="F18" s="30">
        <v>0.27</v>
      </c>
      <c r="G18" s="30">
        <v>0.37</v>
      </c>
      <c r="H18" s="30">
        <v>0.36</v>
      </c>
      <c r="I18" s="30">
        <v>0.46</v>
      </c>
      <c r="J18" s="30">
        <v>0.37</v>
      </c>
      <c r="K18" s="30">
        <v>0.47</v>
      </c>
      <c r="L18" s="30">
        <v>0.46</v>
      </c>
      <c r="M18" s="30">
        <v>0.56000000000000005</v>
      </c>
      <c r="N18" s="28"/>
    </row>
    <row r="19" spans="2:14">
      <c r="B19" s="62"/>
      <c r="C19" s="62"/>
      <c r="D19" s="19" t="s">
        <v>48</v>
      </c>
      <c r="E19" s="21">
        <v>250</v>
      </c>
      <c r="F19" s="30">
        <v>0.14000000000000001</v>
      </c>
      <c r="G19" s="30">
        <v>0.2</v>
      </c>
      <c r="H19" s="30">
        <v>0.18</v>
      </c>
      <c r="I19" s="30">
        <v>0.24</v>
      </c>
      <c r="J19" s="30">
        <v>0.18</v>
      </c>
      <c r="K19" s="30">
        <v>0.24</v>
      </c>
      <c r="L19" s="30">
        <v>0.22</v>
      </c>
      <c r="M19" s="30">
        <v>0.28000000000000003</v>
      </c>
      <c r="N19" s="28"/>
    </row>
    <row r="20" spans="2:14">
      <c r="B20" s="62"/>
      <c r="C20" s="62"/>
      <c r="D20" s="19" t="s">
        <v>48</v>
      </c>
      <c r="E20" s="21">
        <v>500</v>
      </c>
      <c r="F20" s="30">
        <v>0.1</v>
      </c>
      <c r="G20" s="30">
        <v>0.14000000000000001</v>
      </c>
      <c r="H20" s="30">
        <v>0.11</v>
      </c>
      <c r="I20" s="30">
        <v>0.15</v>
      </c>
      <c r="J20" s="30">
        <v>0.12</v>
      </c>
      <c r="K20" s="30">
        <v>0.16</v>
      </c>
      <c r="L20" s="30">
        <v>0.13</v>
      </c>
      <c r="M20" s="30">
        <v>0.17</v>
      </c>
      <c r="N20" s="28"/>
    </row>
    <row r="21" spans="2:14">
      <c r="B21" s="62"/>
      <c r="C21" s="62"/>
      <c r="D21" s="19" t="s">
        <v>48</v>
      </c>
      <c r="E21" s="21">
        <v>1000</v>
      </c>
      <c r="F21" s="30">
        <v>7.0000000000000007E-2</v>
      </c>
      <c r="G21" s="30">
        <v>0.1</v>
      </c>
      <c r="H21" s="30">
        <v>0.1</v>
      </c>
      <c r="I21" s="30">
        <v>0.12</v>
      </c>
      <c r="J21" s="30">
        <v>0.09</v>
      </c>
      <c r="K21" s="30">
        <v>0.11</v>
      </c>
      <c r="L21" s="30">
        <v>0.11</v>
      </c>
      <c r="M21" s="30">
        <v>0.14000000000000001</v>
      </c>
      <c r="N21" s="28"/>
    </row>
    <row r="22" spans="2:14">
      <c r="B22" s="62"/>
      <c r="C22" s="62"/>
      <c r="D22" s="19" t="s">
        <v>48</v>
      </c>
      <c r="E22" s="21">
        <v>1500</v>
      </c>
      <c r="F22" s="30">
        <v>7.0000000000000007E-2</v>
      </c>
      <c r="G22" s="30">
        <v>0.09</v>
      </c>
      <c r="H22" s="30">
        <v>0.09</v>
      </c>
      <c r="I22" s="30">
        <v>0.11</v>
      </c>
      <c r="J22" s="30">
        <v>0.08</v>
      </c>
      <c r="K22" s="30">
        <v>0.1</v>
      </c>
      <c r="L22" s="30">
        <v>0.1</v>
      </c>
      <c r="M22" s="30">
        <v>0.12</v>
      </c>
      <c r="N22" s="28"/>
    </row>
    <row r="23" spans="2:14">
      <c r="B23" s="62"/>
      <c r="C23" s="62"/>
      <c r="D23" s="19" t="s">
        <v>48</v>
      </c>
      <c r="E23" s="21">
        <v>2000</v>
      </c>
      <c r="F23" s="30">
        <v>7.0000000000000007E-2</v>
      </c>
      <c r="G23" s="30">
        <v>0.09</v>
      </c>
      <c r="H23" s="30">
        <v>0.09</v>
      </c>
      <c r="I23" s="30">
        <v>0.1</v>
      </c>
      <c r="J23" s="30">
        <v>0.08</v>
      </c>
      <c r="K23" s="30">
        <v>0.1</v>
      </c>
      <c r="L23" s="30">
        <v>0.09</v>
      </c>
      <c r="M23" s="30">
        <v>0.11</v>
      </c>
      <c r="N23" s="28"/>
    </row>
    <row r="24" spans="2:14">
      <c r="B24" s="62"/>
      <c r="C24" s="62"/>
      <c r="D24" s="19" t="s">
        <v>48</v>
      </c>
      <c r="E24" s="21">
        <v>2500</v>
      </c>
      <c r="F24" s="30">
        <v>7.0000000000000007E-2</v>
      </c>
      <c r="G24" s="30">
        <v>0.09</v>
      </c>
      <c r="H24" s="30">
        <v>0.09</v>
      </c>
      <c r="I24" s="30">
        <v>0.1</v>
      </c>
      <c r="J24" s="30">
        <v>0.08</v>
      </c>
      <c r="K24" s="30">
        <v>0.09</v>
      </c>
      <c r="L24" s="30">
        <v>0.09</v>
      </c>
      <c r="M24" s="30">
        <v>0.11</v>
      </c>
      <c r="N24" s="28"/>
    </row>
    <row r="25" spans="2:14">
      <c r="B25" s="62"/>
      <c r="C25" s="62"/>
      <c r="D25" s="19" t="s">
        <v>48</v>
      </c>
      <c r="E25" s="21">
        <v>5000</v>
      </c>
      <c r="F25" s="30">
        <v>0.06</v>
      </c>
      <c r="G25" s="30">
        <v>7.0000000000000007E-2</v>
      </c>
      <c r="H25" s="30">
        <v>0.08</v>
      </c>
      <c r="I25" s="30">
        <v>0.09</v>
      </c>
      <c r="J25" s="30">
        <v>0.06</v>
      </c>
      <c r="K25" s="30">
        <v>7.0000000000000007E-2</v>
      </c>
      <c r="L25" s="30">
        <v>0.09</v>
      </c>
      <c r="M25" s="30">
        <v>0.1</v>
      </c>
      <c r="N25" s="28"/>
    </row>
    <row r="26" spans="2:14">
      <c r="B26" s="62"/>
      <c r="C26" s="62"/>
      <c r="D26" s="19" t="s">
        <v>48</v>
      </c>
      <c r="E26" s="21">
        <v>10000</v>
      </c>
      <c r="F26" s="30">
        <v>0.06</v>
      </c>
      <c r="G26" s="30">
        <v>0.06</v>
      </c>
      <c r="H26" s="30">
        <v>7.0000000000000007E-2</v>
      </c>
      <c r="I26" s="30">
        <v>7.0000000000000007E-2</v>
      </c>
      <c r="J26" s="30">
        <v>0.06</v>
      </c>
      <c r="K26" s="30">
        <v>7.0000000000000007E-2</v>
      </c>
      <c r="L26" s="30">
        <v>7.0000000000000007E-2</v>
      </c>
      <c r="M26" s="30">
        <v>0.08</v>
      </c>
      <c r="N26" s="28"/>
    </row>
    <row r="27" spans="2:14">
      <c r="B27" s="62"/>
      <c r="C27" s="62"/>
      <c r="D27" s="19"/>
      <c r="E27" s="19"/>
      <c r="F27" s="19"/>
      <c r="G27" s="19"/>
      <c r="H27" s="19"/>
      <c r="I27" s="19"/>
      <c r="J27" s="19"/>
      <c r="K27" s="19"/>
      <c r="L27" s="19"/>
      <c r="M27" s="19"/>
    </row>
    <row r="28" spans="2:14">
      <c r="K28" s="19"/>
      <c r="M28" s="19"/>
    </row>
    <row r="29" spans="2:14">
      <c r="K29" s="19"/>
      <c r="M29" s="19"/>
    </row>
    <row r="30" spans="2:14">
      <c r="B30" s="20" t="s">
        <v>0</v>
      </c>
      <c r="C30" s="20" t="s">
        <v>1</v>
      </c>
      <c r="D30" s="20" t="s">
        <v>2</v>
      </c>
      <c r="E30" s="20" t="s">
        <v>4</v>
      </c>
      <c r="F30" s="20" t="s">
        <v>5</v>
      </c>
      <c r="G30" s="20" t="s">
        <v>38</v>
      </c>
      <c r="H30" s="20" t="s">
        <v>39</v>
      </c>
      <c r="I30" s="20" t="s">
        <v>40</v>
      </c>
      <c r="J30" s="20" t="s">
        <v>41</v>
      </c>
      <c r="K30" s="20" t="s">
        <v>42</v>
      </c>
      <c r="L30" s="20" t="s">
        <v>43</v>
      </c>
      <c r="M30" s="20" t="s">
        <v>44</v>
      </c>
    </row>
    <row r="31" spans="2:14">
      <c r="B31" s="61" t="s">
        <v>45</v>
      </c>
      <c r="C31" s="61" t="s">
        <v>46</v>
      </c>
      <c r="D31" s="19" t="s">
        <v>49</v>
      </c>
      <c r="E31" s="31">
        <v>100</v>
      </c>
      <c r="F31" s="25">
        <v>0.35</v>
      </c>
      <c r="G31" s="25">
        <v>0.45</v>
      </c>
      <c r="H31" s="25">
        <v>0.42</v>
      </c>
      <c r="I31" s="25">
        <v>0.52</v>
      </c>
      <c r="J31" s="25">
        <v>0.45</v>
      </c>
      <c r="K31" s="25">
        <v>0.55000000000000004</v>
      </c>
      <c r="L31" s="25">
        <v>0.52</v>
      </c>
      <c r="M31" s="25">
        <v>0.62</v>
      </c>
    </row>
    <row r="32" spans="2:14">
      <c r="B32" s="62"/>
      <c r="C32" s="62"/>
      <c r="D32" s="19" t="s">
        <v>49</v>
      </c>
      <c r="E32" s="28">
        <v>250</v>
      </c>
      <c r="F32" s="32">
        <v>0.18</v>
      </c>
      <c r="G32" s="32">
        <v>0.24</v>
      </c>
      <c r="H32" s="32">
        <v>0.23</v>
      </c>
      <c r="I32" s="32">
        <v>0.28999999999999998</v>
      </c>
      <c r="J32" s="32">
        <v>0.22</v>
      </c>
      <c r="K32" s="32">
        <v>0.28000000000000003</v>
      </c>
      <c r="L32" s="32">
        <v>0.27</v>
      </c>
      <c r="M32" s="32">
        <v>0.33</v>
      </c>
    </row>
    <row r="33" spans="2:16">
      <c r="B33" s="62"/>
      <c r="C33" s="62"/>
      <c r="D33" s="19" t="s">
        <v>49</v>
      </c>
      <c r="E33" s="28">
        <v>500</v>
      </c>
      <c r="F33" s="32">
        <v>0.12</v>
      </c>
      <c r="G33" s="32">
        <v>0.16</v>
      </c>
      <c r="H33" s="32">
        <v>0.15</v>
      </c>
      <c r="I33" s="32">
        <v>0.19</v>
      </c>
      <c r="J33" s="32">
        <v>0.14000000000000001</v>
      </c>
      <c r="K33" s="32">
        <v>0.18</v>
      </c>
      <c r="L33" s="32">
        <v>0.17</v>
      </c>
      <c r="M33" s="32">
        <v>0.21</v>
      </c>
    </row>
    <row r="34" spans="2:16">
      <c r="B34" s="62"/>
      <c r="C34" s="62"/>
      <c r="D34" s="19" t="s">
        <v>49</v>
      </c>
      <c r="E34" s="28">
        <v>1000</v>
      </c>
      <c r="F34" s="32">
        <v>0.1</v>
      </c>
      <c r="G34" s="32">
        <v>0.13</v>
      </c>
      <c r="H34" s="32">
        <v>0.13</v>
      </c>
      <c r="I34" s="32">
        <v>0.16</v>
      </c>
      <c r="J34" s="32">
        <v>0.11</v>
      </c>
      <c r="K34" s="32">
        <v>0.14000000000000001</v>
      </c>
      <c r="L34" s="32">
        <v>0.14000000000000001</v>
      </c>
      <c r="M34" s="32">
        <v>0.17</v>
      </c>
    </row>
    <row r="35" spans="2:16">
      <c r="B35" s="62"/>
      <c r="C35" s="62"/>
      <c r="D35" s="19" t="s">
        <v>49</v>
      </c>
      <c r="E35" s="28">
        <v>1500</v>
      </c>
      <c r="F35" s="32">
        <v>0.09</v>
      </c>
      <c r="G35" s="32">
        <v>0.11</v>
      </c>
      <c r="H35" s="32">
        <v>0.12</v>
      </c>
      <c r="I35" s="32">
        <v>0.14000000000000001</v>
      </c>
      <c r="J35" s="32">
        <v>0.1</v>
      </c>
      <c r="K35" s="32">
        <v>0.12</v>
      </c>
      <c r="L35" s="32">
        <v>0.13</v>
      </c>
      <c r="M35" s="32">
        <v>0.15</v>
      </c>
    </row>
    <row r="36" spans="2:16">
      <c r="B36" s="62"/>
      <c r="C36" s="62"/>
      <c r="D36" s="19" t="s">
        <v>49</v>
      </c>
      <c r="E36" s="28">
        <v>2000</v>
      </c>
      <c r="F36" s="32">
        <v>0.09</v>
      </c>
      <c r="G36" s="32">
        <v>0.11</v>
      </c>
      <c r="H36" s="32">
        <v>0.11</v>
      </c>
      <c r="I36" s="32">
        <v>0.14000000000000001</v>
      </c>
      <c r="J36" s="32">
        <v>0.09</v>
      </c>
      <c r="K36" s="32">
        <v>0.12</v>
      </c>
      <c r="L36" s="32">
        <v>0.12</v>
      </c>
      <c r="M36" s="32">
        <v>0.15</v>
      </c>
    </row>
    <row r="37" spans="2:16">
      <c r="B37" s="62"/>
      <c r="C37" s="62"/>
      <c r="D37" s="19" t="s">
        <v>49</v>
      </c>
      <c r="E37" s="28">
        <v>2500</v>
      </c>
      <c r="F37" s="32">
        <v>0.09</v>
      </c>
      <c r="G37" s="32">
        <v>0.11</v>
      </c>
      <c r="H37" s="32">
        <v>0.11</v>
      </c>
      <c r="I37" s="32">
        <v>0.14000000000000001</v>
      </c>
      <c r="J37" s="32">
        <v>0.09</v>
      </c>
      <c r="K37" s="32">
        <v>0.12</v>
      </c>
      <c r="L37" s="32">
        <v>0.12</v>
      </c>
      <c r="M37" s="32">
        <v>0.14000000000000001</v>
      </c>
    </row>
    <row r="38" spans="2:16">
      <c r="B38" s="62"/>
      <c r="C38" s="62"/>
      <c r="D38" s="19" t="s">
        <v>49</v>
      </c>
      <c r="E38" s="28">
        <v>5000</v>
      </c>
      <c r="F38" s="32">
        <v>0.08</v>
      </c>
      <c r="G38" s="32">
        <v>0.09</v>
      </c>
      <c r="H38" s="32">
        <v>0.1</v>
      </c>
      <c r="I38" s="32">
        <v>0.12</v>
      </c>
      <c r="J38" s="32">
        <v>0.08</v>
      </c>
      <c r="K38" s="32">
        <v>0.1</v>
      </c>
      <c r="L38" s="32">
        <v>0.11</v>
      </c>
      <c r="M38" s="32">
        <v>0.12</v>
      </c>
    </row>
    <row r="39" spans="2:16">
      <c r="B39" s="62"/>
      <c r="C39" s="62"/>
      <c r="D39" s="19" t="s">
        <v>49</v>
      </c>
      <c r="E39" s="28">
        <v>10000</v>
      </c>
      <c r="F39" s="32">
        <v>0.08</v>
      </c>
      <c r="G39" s="32">
        <v>0.09</v>
      </c>
      <c r="H39" s="32">
        <v>0.1</v>
      </c>
      <c r="I39" s="32">
        <v>0.11</v>
      </c>
      <c r="J39" s="32">
        <v>0.08</v>
      </c>
      <c r="K39" s="32">
        <v>0.09</v>
      </c>
      <c r="L39" s="32">
        <v>0.1</v>
      </c>
      <c r="M39" s="32">
        <v>0.11</v>
      </c>
    </row>
    <row r="40" spans="2:16">
      <c r="B40" s="62"/>
      <c r="C40" s="62"/>
      <c r="D40" s="19"/>
      <c r="E40" s="19"/>
      <c r="F40" s="19"/>
      <c r="G40" s="19"/>
      <c r="H40" s="19"/>
      <c r="I40" s="19"/>
      <c r="J40" s="19"/>
      <c r="K40" s="19"/>
      <c r="L40" s="19"/>
      <c r="M40" s="19"/>
    </row>
    <row r="41" spans="2:16">
      <c r="K41" s="19"/>
      <c r="M41" s="19"/>
    </row>
    <row r="42" spans="2:16">
      <c r="K42" s="19"/>
      <c r="M42" s="19"/>
    </row>
    <row r="43" spans="2:16">
      <c r="B43" s="20" t="s">
        <v>0</v>
      </c>
      <c r="C43" s="20" t="s">
        <v>1</v>
      </c>
      <c r="D43" s="20" t="s">
        <v>2</v>
      </c>
      <c r="E43" s="20" t="s">
        <v>4</v>
      </c>
      <c r="F43" s="20" t="s">
        <v>5</v>
      </c>
      <c r="G43" s="20" t="s">
        <v>38</v>
      </c>
      <c r="H43" s="20" t="s">
        <v>39</v>
      </c>
      <c r="I43" s="20" t="s">
        <v>40</v>
      </c>
      <c r="J43" s="20" t="s">
        <v>41</v>
      </c>
      <c r="K43" s="20" t="s">
        <v>42</v>
      </c>
      <c r="L43" s="20" t="s">
        <v>43</v>
      </c>
      <c r="M43" s="20" t="s">
        <v>44</v>
      </c>
    </row>
    <row r="44" spans="2:16">
      <c r="B44" s="61" t="s">
        <v>45</v>
      </c>
      <c r="C44" s="61" t="s">
        <v>46</v>
      </c>
      <c r="D44" s="19" t="s">
        <v>50</v>
      </c>
      <c r="E44" s="31">
        <v>100</v>
      </c>
      <c r="F44" s="25">
        <v>0.55000000000000004</v>
      </c>
      <c r="G44" s="25">
        <v>0.65</v>
      </c>
      <c r="H44" s="32">
        <v>0.63</v>
      </c>
      <c r="I44" s="25">
        <v>0.73</v>
      </c>
      <c r="J44" s="25">
        <v>0.7</v>
      </c>
      <c r="K44" s="25">
        <v>0.8</v>
      </c>
      <c r="L44" s="25">
        <v>0.78</v>
      </c>
      <c r="M44" s="25">
        <v>0.88</v>
      </c>
      <c r="N44" s="31"/>
      <c r="P44" s="25"/>
    </row>
    <row r="45" spans="2:16">
      <c r="B45" s="62"/>
      <c r="C45" s="62"/>
      <c r="D45" s="19" t="s">
        <v>50</v>
      </c>
      <c r="E45" s="28">
        <v>250</v>
      </c>
      <c r="F45" s="32">
        <v>0.26</v>
      </c>
      <c r="G45" s="32">
        <v>0.32</v>
      </c>
      <c r="H45" s="32">
        <v>0.32</v>
      </c>
      <c r="I45" s="32">
        <v>0.38</v>
      </c>
      <c r="J45" s="32">
        <v>0.34</v>
      </c>
      <c r="K45" s="32">
        <v>0.4</v>
      </c>
      <c r="L45" s="32">
        <v>0.4</v>
      </c>
      <c r="M45" s="32">
        <v>0.46</v>
      </c>
      <c r="N45" s="28"/>
      <c r="P45" s="28"/>
    </row>
    <row r="46" spans="2:16">
      <c r="B46" s="62"/>
      <c r="C46" s="62"/>
      <c r="D46" s="19" t="s">
        <v>50</v>
      </c>
      <c r="E46" s="33">
        <v>500</v>
      </c>
      <c r="F46" s="32">
        <v>0.22</v>
      </c>
      <c r="G46" s="32">
        <v>0.26</v>
      </c>
      <c r="H46" s="32">
        <v>0.26</v>
      </c>
      <c r="I46" s="32">
        <v>0.3</v>
      </c>
      <c r="J46" s="32">
        <v>0.27</v>
      </c>
      <c r="K46" s="32">
        <v>0.31</v>
      </c>
      <c r="L46" s="32">
        <v>0.31</v>
      </c>
      <c r="M46" s="32">
        <v>0.35</v>
      </c>
      <c r="N46" s="28"/>
      <c r="P46" s="28"/>
    </row>
    <row r="47" spans="2:16">
      <c r="B47" s="62"/>
      <c r="C47" s="62"/>
      <c r="D47" s="19" t="s">
        <v>50</v>
      </c>
      <c r="E47" s="28">
        <v>1000</v>
      </c>
      <c r="F47" s="32">
        <v>0.2</v>
      </c>
      <c r="G47" s="32">
        <v>0.23</v>
      </c>
      <c r="H47" s="32">
        <v>0.24</v>
      </c>
      <c r="I47" s="32">
        <v>0.27</v>
      </c>
      <c r="J47" s="32">
        <v>0.23</v>
      </c>
      <c r="K47" s="32">
        <v>0.26</v>
      </c>
      <c r="L47" s="32">
        <v>0.27</v>
      </c>
      <c r="M47" s="32">
        <v>0.3</v>
      </c>
      <c r="N47" s="28"/>
      <c r="P47" s="28"/>
    </row>
    <row r="48" spans="2:16">
      <c r="B48" s="62"/>
      <c r="C48" s="62"/>
      <c r="D48" s="19" t="s">
        <v>50</v>
      </c>
      <c r="E48" s="28">
        <v>1500</v>
      </c>
      <c r="F48" s="32">
        <v>0.18</v>
      </c>
      <c r="G48" s="32">
        <v>0.2</v>
      </c>
      <c r="H48" s="32">
        <v>0.21</v>
      </c>
      <c r="I48" s="32">
        <v>0.24</v>
      </c>
      <c r="J48" s="32">
        <v>0.21</v>
      </c>
      <c r="K48" s="32">
        <v>0.23</v>
      </c>
      <c r="L48" s="32">
        <v>0.24</v>
      </c>
      <c r="M48" s="32">
        <v>0.27</v>
      </c>
      <c r="N48" s="28"/>
      <c r="P48" s="28"/>
    </row>
    <row r="49" spans="2:16">
      <c r="B49" s="62"/>
      <c r="C49" s="62"/>
      <c r="D49" s="19" t="s">
        <v>50</v>
      </c>
      <c r="E49" s="28">
        <v>2000</v>
      </c>
      <c r="F49" s="32">
        <v>0.16</v>
      </c>
      <c r="G49" s="32">
        <v>0.18</v>
      </c>
      <c r="H49" s="32">
        <v>0.19</v>
      </c>
      <c r="I49" s="32">
        <v>0.21</v>
      </c>
      <c r="J49" s="32">
        <v>0.19</v>
      </c>
      <c r="K49" s="32">
        <v>0.21</v>
      </c>
      <c r="L49" s="32">
        <v>0.22</v>
      </c>
      <c r="M49" s="32">
        <v>0.25</v>
      </c>
      <c r="N49" s="28"/>
      <c r="P49" s="28"/>
    </row>
    <row r="50" spans="2:16">
      <c r="B50" s="62"/>
      <c r="C50" s="62"/>
      <c r="D50" s="19" t="s">
        <v>50</v>
      </c>
      <c r="E50" s="28">
        <v>2500</v>
      </c>
      <c r="F50" s="32">
        <v>0.14000000000000001</v>
      </c>
      <c r="G50" s="32">
        <v>0.16</v>
      </c>
      <c r="H50" s="32">
        <v>0.17</v>
      </c>
      <c r="I50" s="32">
        <v>0.19</v>
      </c>
      <c r="J50" s="32">
        <v>0.17</v>
      </c>
      <c r="K50" s="32">
        <v>0.19</v>
      </c>
      <c r="L50" s="32">
        <v>0.2</v>
      </c>
      <c r="M50" s="32">
        <v>0.22</v>
      </c>
      <c r="N50" s="28"/>
      <c r="P50" s="28"/>
    </row>
    <row r="51" spans="2:16">
      <c r="B51" s="62"/>
      <c r="C51" s="62"/>
      <c r="D51" s="19" t="s">
        <v>50</v>
      </c>
      <c r="E51" s="28">
        <v>5000</v>
      </c>
      <c r="F51" s="32">
        <v>0.12</v>
      </c>
      <c r="G51" s="32">
        <v>0.14000000000000001</v>
      </c>
      <c r="H51" s="25">
        <v>0.16</v>
      </c>
      <c r="I51" s="32">
        <v>0.18</v>
      </c>
      <c r="J51" s="32">
        <v>0.14000000000000001</v>
      </c>
      <c r="K51" s="32">
        <v>0.16</v>
      </c>
      <c r="L51" s="32">
        <v>0.18</v>
      </c>
      <c r="M51" s="32">
        <v>0.19</v>
      </c>
      <c r="N51" s="28"/>
      <c r="P51" s="28"/>
    </row>
    <row r="52" spans="2:16">
      <c r="B52" s="62"/>
      <c r="C52" s="62"/>
      <c r="D52" s="19"/>
      <c r="E52" s="28"/>
      <c r="F52" s="32"/>
      <c r="G52" s="32"/>
      <c r="H52" s="32"/>
      <c r="I52" s="32"/>
      <c r="J52" s="32"/>
      <c r="K52" s="32"/>
      <c r="L52" s="32"/>
      <c r="M52" s="32"/>
    </row>
    <row r="53" spans="2:16">
      <c r="B53" s="62"/>
      <c r="C53" s="62"/>
      <c r="D53" s="19"/>
      <c r="E53" s="19"/>
      <c r="F53" s="19"/>
      <c r="G53" s="19"/>
      <c r="H53" s="19"/>
      <c r="I53" s="19"/>
      <c r="J53" s="19"/>
      <c r="K53" s="19"/>
      <c r="L53" s="19"/>
      <c r="M53" s="19"/>
    </row>
    <row r="54" spans="2:16">
      <c r="K54" s="19"/>
      <c r="M54" s="19"/>
    </row>
    <row r="55" spans="2:16">
      <c r="K55" s="19"/>
      <c r="M55" s="19"/>
    </row>
    <row r="56" spans="2:16">
      <c r="B56" s="20" t="s">
        <v>0</v>
      </c>
      <c r="C56" s="20" t="s">
        <v>1</v>
      </c>
      <c r="D56" s="20" t="s">
        <v>2</v>
      </c>
      <c r="E56" s="20" t="s">
        <v>4</v>
      </c>
      <c r="F56" s="20" t="s">
        <v>5</v>
      </c>
      <c r="G56" s="20" t="s">
        <v>38</v>
      </c>
      <c r="H56" s="20" t="s">
        <v>39</v>
      </c>
      <c r="I56" s="20" t="s">
        <v>40</v>
      </c>
      <c r="J56" s="20" t="s">
        <v>41</v>
      </c>
      <c r="K56" s="20" t="s">
        <v>42</v>
      </c>
      <c r="L56" s="20" t="s">
        <v>43</v>
      </c>
      <c r="M56" s="20" t="s">
        <v>44</v>
      </c>
    </row>
    <row r="57" spans="2:16" ht="15.75" customHeight="1">
      <c r="B57" s="61" t="s">
        <v>45</v>
      </c>
      <c r="C57" s="61" t="s">
        <v>46</v>
      </c>
      <c r="D57" s="19" t="s">
        <v>51</v>
      </c>
      <c r="E57" s="31">
        <v>100</v>
      </c>
      <c r="F57" s="25">
        <v>0.35</v>
      </c>
      <c r="G57" s="25">
        <v>0.35</v>
      </c>
      <c r="H57" s="25">
        <v>0.42</v>
      </c>
      <c r="I57" s="25">
        <v>0.52</v>
      </c>
      <c r="J57" s="25">
        <v>0.45</v>
      </c>
      <c r="K57" s="25">
        <v>0.55000000000000004</v>
      </c>
      <c r="L57" s="25">
        <v>0.52</v>
      </c>
      <c r="M57" s="25">
        <v>0.62</v>
      </c>
      <c r="N57" s="34"/>
      <c r="O57" s="34"/>
      <c r="P57" s="35"/>
    </row>
    <row r="58" spans="2:16">
      <c r="B58" s="62"/>
      <c r="C58" s="62"/>
      <c r="D58" s="19" t="s">
        <v>51</v>
      </c>
      <c r="E58" s="28">
        <v>250</v>
      </c>
      <c r="F58" s="32">
        <v>0.18</v>
      </c>
      <c r="G58" s="32">
        <v>0.18</v>
      </c>
      <c r="H58" s="32">
        <v>0.23</v>
      </c>
      <c r="I58" s="32">
        <v>0.28999999999999998</v>
      </c>
      <c r="J58" s="32">
        <v>0.22</v>
      </c>
      <c r="K58" s="32">
        <v>0.28000000000000003</v>
      </c>
      <c r="L58" s="32">
        <v>0.27</v>
      </c>
      <c r="M58" s="32">
        <v>0.33</v>
      </c>
      <c r="N58" s="31"/>
      <c r="O58" s="25"/>
      <c r="P58" s="25"/>
    </row>
    <row r="59" spans="2:16">
      <c r="B59" s="62"/>
      <c r="C59" s="62"/>
      <c r="D59" s="19" t="s">
        <v>51</v>
      </c>
      <c r="E59" s="28">
        <v>500</v>
      </c>
      <c r="F59" s="32">
        <v>0.12</v>
      </c>
      <c r="G59" s="32">
        <v>0.12</v>
      </c>
      <c r="H59" s="32">
        <v>0.15</v>
      </c>
      <c r="I59" s="32">
        <v>0.19</v>
      </c>
      <c r="J59" s="32">
        <v>0.14000000000000001</v>
      </c>
      <c r="K59" s="32">
        <v>0.18</v>
      </c>
      <c r="L59" s="32">
        <v>0.17</v>
      </c>
      <c r="M59" s="32">
        <v>0.21</v>
      </c>
      <c r="N59" s="28"/>
      <c r="O59" s="32"/>
      <c r="P59" s="28"/>
    </row>
    <row r="60" spans="2:16">
      <c r="B60" s="62"/>
      <c r="C60" s="62"/>
      <c r="D60" s="19" t="s">
        <v>51</v>
      </c>
      <c r="E60" s="28">
        <v>1000</v>
      </c>
      <c r="F60" s="32">
        <v>0.1</v>
      </c>
      <c r="G60" s="32">
        <v>0.1</v>
      </c>
      <c r="H60" s="32">
        <v>0.13</v>
      </c>
      <c r="I60" s="32">
        <v>0.16</v>
      </c>
      <c r="J60" s="32">
        <v>0.11</v>
      </c>
      <c r="K60" s="32">
        <v>0.14000000000000001</v>
      </c>
      <c r="L60" s="32">
        <v>0.14000000000000001</v>
      </c>
      <c r="M60" s="32">
        <v>0.17</v>
      </c>
      <c r="N60" s="28"/>
      <c r="O60" s="32"/>
      <c r="P60" s="28"/>
    </row>
    <row r="61" spans="2:16">
      <c r="B61" s="62"/>
      <c r="C61" s="62"/>
      <c r="D61" s="19" t="s">
        <v>51</v>
      </c>
      <c r="E61" s="28">
        <v>1500</v>
      </c>
      <c r="F61" s="32">
        <v>0.09</v>
      </c>
      <c r="G61" s="32">
        <v>0.09</v>
      </c>
      <c r="H61" s="32">
        <v>0.12</v>
      </c>
      <c r="I61" s="32">
        <v>0.14000000000000001</v>
      </c>
      <c r="J61" s="32">
        <v>0.1</v>
      </c>
      <c r="K61" s="32">
        <v>0.12</v>
      </c>
      <c r="L61" s="32">
        <v>0.13</v>
      </c>
      <c r="M61" s="32">
        <v>0.15</v>
      </c>
      <c r="N61" s="28"/>
      <c r="O61" s="32"/>
      <c r="P61" s="28"/>
    </row>
    <row r="62" spans="2:16">
      <c r="B62" s="62"/>
      <c r="C62" s="62"/>
      <c r="D62" s="19" t="s">
        <v>51</v>
      </c>
      <c r="E62" s="28">
        <v>2000</v>
      </c>
      <c r="F62" s="32">
        <v>0.09</v>
      </c>
      <c r="G62" s="32">
        <v>0.09</v>
      </c>
      <c r="H62" s="32">
        <v>0.11</v>
      </c>
      <c r="I62" s="32">
        <v>0.14000000000000001</v>
      </c>
      <c r="J62" s="32">
        <v>0.09</v>
      </c>
      <c r="K62" s="32">
        <v>0.12</v>
      </c>
      <c r="L62" s="32">
        <v>0.12</v>
      </c>
      <c r="M62" s="32">
        <v>0.15</v>
      </c>
      <c r="N62" s="28"/>
      <c r="O62" s="32"/>
      <c r="P62" s="28"/>
    </row>
    <row r="63" spans="2:16">
      <c r="B63" s="62"/>
      <c r="C63" s="62"/>
      <c r="D63" s="19" t="s">
        <v>51</v>
      </c>
      <c r="E63" s="28">
        <v>2500</v>
      </c>
      <c r="F63" s="32">
        <v>0.09</v>
      </c>
      <c r="G63" s="32">
        <v>0.09</v>
      </c>
      <c r="H63" s="32">
        <v>0.11</v>
      </c>
      <c r="I63" s="32">
        <v>0.14000000000000001</v>
      </c>
      <c r="J63" s="32">
        <v>0.09</v>
      </c>
      <c r="K63" s="32">
        <v>0.12</v>
      </c>
      <c r="L63" s="32">
        <v>0.12</v>
      </c>
      <c r="M63" s="32">
        <v>0.14000000000000001</v>
      </c>
      <c r="N63" s="28"/>
      <c r="O63" s="32"/>
      <c r="P63" s="28"/>
    </row>
    <row r="64" spans="2:16">
      <c r="B64" s="62"/>
      <c r="C64" s="62"/>
      <c r="D64" s="19" t="s">
        <v>51</v>
      </c>
      <c r="E64" s="28">
        <v>5000</v>
      </c>
      <c r="F64" s="32">
        <v>0.08</v>
      </c>
      <c r="G64" s="32">
        <v>0.08</v>
      </c>
      <c r="H64" s="32">
        <v>0.1</v>
      </c>
      <c r="I64" s="32">
        <v>0.12</v>
      </c>
      <c r="J64" s="32">
        <v>0.08</v>
      </c>
      <c r="K64" s="32">
        <v>0.1</v>
      </c>
      <c r="L64" s="32">
        <v>0.11</v>
      </c>
      <c r="M64" s="32">
        <v>0.12</v>
      </c>
      <c r="N64" s="28"/>
      <c r="O64" s="32"/>
      <c r="P64" s="28"/>
    </row>
    <row r="65" spans="2:16">
      <c r="B65" s="62"/>
      <c r="C65" s="62"/>
      <c r="D65" s="19" t="s">
        <v>51</v>
      </c>
      <c r="E65" s="28">
        <v>10000</v>
      </c>
      <c r="F65" s="32">
        <v>0.08</v>
      </c>
      <c r="G65" s="32">
        <v>0.08</v>
      </c>
      <c r="H65" s="32">
        <v>0.1</v>
      </c>
      <c r="I65" s="32">
        <v>0.11</v>
      </c>
      <c r="J65" s="32">
        <v>0.08</v>
      </c>
      <c r="K65" s="32">
        <v>0.09</v>
      </c>
      <c r="L65" s="32">
        <v>0.1</v>
      </c>
      <c r="M65" s="32">
        <v>0.11</v>
      </c>
      <c r="N65" s="28"/>
      <c r="O65" s="32"/>
      <c r="P65" s="28"/>
    </row>
    <row r="66" spans="2:16">
      <c r="B66" s="62"/>
      <c r="C66" s="62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28"/>
      <c r="O66" s="32"/>
      <c r="P66" s="28"/>
    </row>
    <row r="67" spans="2:16">
      <c r="K67" s="19"/>
      <c r="M67" s="19"/>
    </row>
    <row r="68" spans="2:16">
      <c r="K68" s="19"/>
      <c r="M68" s="19"/>
    </row>
    <row r="69" spans="2:16">
      <c r="B69" s="20" t="s">
        <v>0</v>
      </c>
      <c r="C69" s="20" t="s">
        <v>1</v>
      </c>
      <c r="D69" s="20" t="s">
        <v>2</v>
      </c>
      <c r="E69" s="20" t="s">
        <v>4</v>
      </c>
      <c r="F69" s="20" t="s">
        <v>5</v>
      </c>
      <c r="G69" s="20" t="s">
        <v>38</v>
      </c>
      <c r="H69" s="20" t="s">
        <v>39</v>
      </c>
      <c r="I69" s="20" t="s">
        <v>40</v>
      </c>
      <c r="J69" s="20" t="s">
        <v>41</v>
      </c>
      <c r="K69" s="20" t="s">
        <v>42</v>
      </c>
      <c r="L69" s="20" t="s">
        <v>43</v>
      </c>
      <c r="M69" s="20" t="s">
        <v>44</v>
      </c>
    </row>
    <row r="70" spans="2:16">
      <c r="B70" s="69" t="s">
        <v>45</v>
      </c>
      <c r="C70" s="69" t="s">
        <v>52</v>
      </c>
      <c r="D70" s="36" t="s">
        <v>53</v>
      </c>
      <c r="E70" s="37">
        <v>100</v>
      </c>
      <c r="F70" s="23">
        <v>0.32</v>
      </c>
      <c r="G70" s="23">
        <v>0.47</v>
      </c>
      <c r="H70" s="23">
        <v>0.41</v>
      </c>
      <c r="I70" s="23">
        <v>0.56000000000000005</v>
      </c>
      <c r="J70" s="23">
        <v>0.42</v>
      </c>
      <c r="K70" s="23">
        <v>0.56999999999999995</v>
      </c>
      <c r="L70" s="23">
        <v>0.51</v>
      </c>
      <c r="M70" s="23">
        <v>0.66</v>
      </c>
    </row>
    <row r="71" spans="2:16">
      <c r="B71" s="62"/>
      <c r="C71" s="62"/>
      <c r="D71" s="36" t="s">
        <v>53</v>
      </c>
      <c r="E71" s="38">
        <v>250</v>
      </c>
      <c r="F71" s="27">
        <v>0.17</v>
      </c>
      <c r="G71" s="27">
        <v>0.25</v>
      </c>
      <c r="H71" s="27">
        <v>0.21</v>
      </c>
      <c r="I71" s="27">
        <v>0.28999999999999998</v>
      </c>
      <c r="J71" s="27">
        <v>0.21</v>
      </c>
      <c r="K71" s="27">
        <v>0.28999999999999998</v>
      </c>
      <c r="L71" s="27">
        <v>0.25</v>
      </c>
      <c r="M71" s="27">
        <v>0.33</v>
      </c>
    </row>
    <row r="72" spans="2:16">
      <c r="B72" s="62"/>
      <c r="C72" s="62"/>
      <c r="D72" s="36" t="s">
        <v>53</v>
      </c>
      <c r="E72" s="39">
        <v>500</v>
      </c>
      <c r="F72" s="27">
        <v>0.12</v>
      </c>
      <c r="G72" s="27">
        <v>0.17</v>
      </c>
      <c r="H72" s="27">
        <v>0.13</v>
      </c>
      <c r="I72" s="27">
        <v>0.18</v>
      </c>
      <c r="J72" s="27">
        <v>0.14000000000000001</v>
      </c>
      <c r="K72" s="27">
        <v>0.19</v>
      </c>
      <c r="L72" s="27">
        <v>0.15</v>
      </c>
      <c r="M72" s="27">
        <v>0.2</v>
      </c>
    </row>
    <row r="73" spans="2:16">
      <c r="B73" s="62"/>
      <c r="C73" s="62"/>
      <c r="D73" s="36" t="s">
        <v>53</v>
      </c>
      <c r="E73" s="38">
        <v>1000</v>
      </c>
      <c r="F73" s="27">
        <v>0.09</v>
      </c>
      <c r="G73" s="27">
        <v>0.12</v>
      </c>
      <c r="H73" s="27">
        <v>0.11</v>
      </c>
      <c r="I73" s="27">
        <v>0.14000000000000001</v>
      </c>
      <c r="J73" s="27">
        <v>0.1</v>
      </c>
      <c r="K73" s="27">
        <v>0.13</v>
      </c>
      <c r="L73" s="27">
        <v>0.13</v>
      </c>
      <c r="M73" s="27">
        <v>0.16</v>
      </c>
    </row>
    <row r="74" spans="2:16">
      <c r="B74" s="62"/>
      <c r="C74" s="62"/>
      <c r="D74" s="36" t="s">
        <v>53</v>
      </c>
      <c r="E74" s="38">
        <v>1500</v>
      </c>
      <c r="F74" s="27">
        <v>0.08</v>
      </c>
      <c r="G74" s="27">
        <v>0.11</v>
      </c>
      <c r="H74" s="27">
        <v>0.1</v>
      </c>
      <c r="I74" s="27">
        <v>0.12</v>
      </c>
      <c r="J74" s="27">
        <v>0.09</v>
      </c>
      <c r="K74" s="27">
        <v>0.12</v>
      </c>
      <c r="L74" s="27">
        <v>0.11</v>
      </c>
      <c r="M74" s="27">
        <v>0.13</v>
      </c>
    </row>
    <row r="75" spans="2:16">
      <c r="B75" s="62"/>
      <c r="C75" s="62"/>
      <c r="D75" s="36" t="s">
        <v>53</v>
      </c>
      <c r="E75" s="38">
        <v>2000</v>
      </c>
      <c r="F75" s="27">
        <v>7.0000000000000007E-2</v>
      </c>
      <c r="G75" s="27">
        <v>0.09</v>
      </c>
      <c r="H75" s="27">
        <v>0.09</v>
      </c>
      <c r="I75" s="27">
        <v>0.11</v>
      </c>
      <c r="J75" s="27">
        <v>0.08</v>
      </c>
      <c r="K75" s="27">
        <v>0.1</v>
      </c>
      <c r="L75" s="27">
        <v>0.09</v>
      </c>
      <c r="M75" s="27">
        <v>0.11</v>
      </c>
    </row>
    <row r="76" spans="2:16">
      <c r="B76" s="62"/>
      <c r="C76" s="62"/>
      <c r="D76" s="36" t="s">
        <v>53</v>
      </c>
      <c r="E76" s="38">
        <v>2500</v>
      </c>
      <c r="F76" s="27">
        <v>7.0000000000000007E-2</v>
      </c>
      <c r="G76" s="27">
        <v>0.09</v>
      </c>
      <c r="H76" s="27">
        <v>0.09</v>
      </c>
      <c r="I76" s="27">
        <v>0.11</v>
      </c>
      <c r="J76" s="27">
        <v>0.08</v>
      </c>
      <c r="K76" s="27">
        <v>0.09</v>
      </c>
      <c r="L76" s="27">
        <v>0.09</v>
      </c>
      <c r="M76" s="27">
        <v>0.11</v>
      </c>
    </row>
    <row r="77" spans="2:16">
      <c r="B77" s="62"/>
      <c r="C77" s="62"/>
      <c r="D77" s="36" t="s">
        <v>53</v>
      </c>
      <c r="E77" s="38">
        <v>5000</v>
      </c>
      <c r="F77" s="27">
        <v>0.06</v>
      </c>
      <c r="G77" s="27">
        <v>7.0000000000000007E-2</v>
      </c>
      <c r="H77" s="27">
        <v>0.08</v>
      </c>
      <c r="I77" s="27">
        <v>0.09</v>
      </c>
      <c r="J77" s="27">
        <v>0.06</v>
      </c>
      <c r="K77" s="27">
        <v>7.0000000000000007E-2</v>
      </c>
      <c r="L77" s="27">
        <v>0.09</v>
      </c>
      <c r="M77" s="27">
        <v>0.1</v>
      </c>
    </row>
    <row r="78" spans="2:16">
      <c r="B78" s="62"/>
      <c r="C78" s="62"/>
      <c r="D78" s="36" t="s">
        <v>53</v>
      </c>
      <c r="E78" s="38">
        <v>10000</v>
      </c>
      <c r="F78" s="27">
        <v>0.06</v>
      </c>
      <c r="G78" s="27">
        <v>7.0000000000000007E-2</v>
      </c>
      <c r="H78" s="27">
        <v>7.0000000000000007E-2</v>
      </c>
      <c r="I78" s="27">
        <v>0.08</v>
      </c>
      <c r="J78" s="27">
        <v>0.06</v>
      </c>
      <c r="K78" s="27">
        <v>7.0000000000000007E-2</v>
      </c>
      <c r="L78" s="27">
        <v>7.0000000000000007E-2</v>
      </c>
      <c r="M78" s="27">
        <v>0.08</v>
      </c>
    </row>
    <row r="79" spans="2:16">
      <c r="K79" s="19"/>
      <c r="M79" s="19"/>
    </row>
    <row r="80" spans="2:16">
      <c r="K80" s="19"/>
      <c r="M80" s="19"/>
    </row>
    <row r="81" spans="9:13">
      <c r="K81" s="19"/>
      <c r="M81" s="19"/>
    </row>
    <row r="82" spans="9:13">
      <c r="I82" s="31"/>
      <c r="J82" s="25"/>
      <c r="K82" s="25"/>
      <c r="M82" s="19"/>
    </row>
    <row r="83" spans="9:13">
      <c r="I83" s="28"/>
      <c r="J83" s="32"/>
      <c r="K83" s="32"/>
      <c r="M83" s="19"/>
    </row>
    <row r="84" spans="9:13">
      <c r="I84" s="28"/>
      <c r="J84" s="25"/>
      <c r="L84" s="25"/>
      <c r="M84" s="19"/>
    </row>
    <row r="85" spans="9:13">
      <c r="I85" s="28"/>
      <c r="J85" s="32"/>
      <c r="L85" s="28"/>
      <c r="M85" s="19"/>
    </row>
    <row r="86" spans="9:13">
      <c r="I86" s="28"/>
      <c r="J86" s="32"/>
      <c r="L86" s="28"/>
      <c r="M86" s="19"/>
    </row>
    <row r="87" spans="9:13">
      <c r="I87" s="28"/>
      <c r="J87" s="32"/>
      <c r="L87" s="28"/>
      <c r="M87" s="19"/>
    </row>
    <row r="88" spans="9:13">
      <c r="I88" s="28"/>
      <c r="J88" s="32"/>
      <c r="L88" s="28"/>
      <c r="M88" s="19"/>
    </row>
    <row r="89" spans="9:13">
      <c r="I89" s="28"/>
      <c r="J89" s="32"/>
      <c r="L89" s="28"/>
      <c r="M89" s="19"/>
    </row>
    <row r="90" spans="9:13">
      <c r="I90" s="28"/>
      <c r="J90" s="32"/>
      <c r="L90" s="28"/>
      <c r="M90" s="19"/>
    </row>
    <row r="91" spans="9:13">
      <c r="I91" s="28"/>
      <c r="J91" s="28"/>
      <c r="L91" s="28"/>
      <c r="M91" s="19"/>
    </row>
    <row r="92" spans="9:13">
      <c r="J92" s="28"/>
      <c r="L92" s="28"/>
      <c r="M92" s="19"/>
    </row>
    <row r="93" spans="9:13">
      <c r="K93" s="19"/>
      <c r="M93" s="19"/>
    </row>
    <row r="94" spans="9:13">
      <c r="K94" s="19"/>
      <c r="M94" s="19"/>
    </row>
    <row r="95" spans="9:13">
      <c r="K95" s="19"/>
      <c r="M95" s="19"/>
    </row>
    <row r="96" spans="9:13">
      <c r="K96" s="19"/>
      <c r="M96" s="19"/>
    </row>
    <row r="97" spans="11:13">
      <c r="K97" s="19"/>
      <c r="M97" s="19"/>
    </row>
    <row r="98" spans="11:13">
      <c r="K98" s="19"/>
      <c r="M98" s="19"/>
    </row>
    <row r="99" spans="11:13">
      <c r="K99" s="19"/>
      <c r="M99" s="19"/>
    </row>
    <row r="100" spans="11:13">
      <c r="K100" s="19"/>
      <c r="M100" s="19"/>
    </row>
    <row r="101" spans="11:13">
      <c r="K101" s="19"/>
      <c r="M101" s="19"/>
    </row>
    <row r="102" spans="11:13">
      <c r="K102" s="19"/>
      <c r="M102" s="19"/>
    </row>
    <row r="103" spans="11:13">
      <c r="K103" s="19"/>
      <c r="M103" s="19"/>
    </row>
    <row r="104" spans="11:13">
      <c r="K104" s="19"/>
      <c r="M104" s="19"/>
    </row>
    <row r="105" spans="11:13">
      <c r="K105" s="19"/>
      <c r="M105" s="19"/>
    </row>
    <row r="106" spans="11:13">
      <c r="K106" s="19"/>
      <c r="M106" s="19"/>
    </row>
    <row r="107" spans="11:13">
      <c r="K107" s="19"/>
      <c r="M107" s="19"/>
    </row>
    <row r="108" spans="11:13">
      <c r="K108" s="19"/>
      <c r="M108" s="19"/>
    </row>
    <row r="109" spans="11:13">
      <c r="K109" s="19"/>
      <c r="M109" s="19"/>
    </row>
    <row r="110" spans="11:13">
      <c r="K110" s="19"/>
      <c r="M110" s="19"/>
    </row>
    <row r="111" spans="11:13">
      <c r="K111" s="19"/>
      <c r="M111" s="19"/>
    </row>
    <row r="112" spans="11:13">
      <c r="K112" s="19"/>
      <c r="M112" s="19"/>
    </row>
    <row r="113" spans="11:13">
      <c r="K113" s="19"/>
      <c r="M113" s="19"/>
    </row>
    <row r="114" spans="11:13">
      <c r="K114" s="19"/>
      <c r="M114" s="19"/>
    </row>
    <row r="115" spans="11:13">
      <c r="K115" s="19"/>
      <c r="M115" s="19"/>
    </row>
    <row r="116" spans="11:13">
      <c r="K116" s="19"/>
      <c r="M116" s="19"/>
    </row>
    <row r="117" spans="11:13">
      <c r="K117" s="19"/>
      <c r="M117" s="19"/>
    </row>
    <row r="118" spans="11:13">
      <c r="K118" s="19"/>
      <c r="M118" s="19"/>
    </row>
    <row r="119" spans="11:13">
      <c r="K119" s="19"/>
      <c r="M119" s="19"/>
    </row>
    <row r="120" spans="11:13">
      <c r="K120" s="19"/>
      <c r="M120" s="19"/>
    </row>
    <row r="121" spans="11:13">
      <c r="K121" s="19"/>
      <c r="M121" s="19"/>
    </row>
    <row r="122" spans="11:13">
      <c r="K122" s="19"/>
      <c r="M122" s="19"/>
    </row>
    <row r="123" spans="11:13">
      <c r="K123" s="19"/>
      <c r="M123" s="19"/>
    </row>
    <row r="124" spans="11:13">
      <c r="K124" s="19"/>
      <c r="M124" s="19"/>
    </row>
    <row r="125" spans="11:13">
      <c r="K125" s="19"/>
      <c r="M125" s="19"/>
    </row>
    <row r="126" spans="11:13">
      <c r="K126" s="19"/>
      <c r="M126" s="19"/>
    </row>
    <row r="127" spans="11:13">
      <c r="K127" s="19"/>
      <c r="M127" s="19"/>
    </row>
    <row r="128" spans="11:13">
      <c r="K128" s="19"/>
      <c r="M128" s="19"/>
    </row>
    <row r="129" spans="11:13">
      <c r="K129" s="19"/>
      <c r="M129" s="19"/>
    </row>
    <row r="130" spans="11:13">
      <c r="K130" s="19"/>
      <c r="M130" s="19"/>
    </row>
    <row r="131" spans="11:13">
      <c r="K131" s="19"/>
      <c r="M131" s="19"/>
    </row>
    <row r="132" spans="11:13">
      <c r="K132" s="19"/>
      <c r="M132" s="19"/>
    </row>
    <row r="133" spans="11:13">
      <c r="K133" s="19"/>
      <c r="M133" s="19"/>
    </row>
    <row r="134" spans="11:13">
      <c r="K134" s="19"/>
      <c r="M134" s="19"/>
    </row>
    <row r="135" spans="11:13">
      <c r="K135" s="19"/>
      <c r="M135" s="19"/>
    </row>
    <row r="136" spans="11:13">
      <c r="K136" s="19"/>
      <c r="M136" s="19"/>
    </row>
    <row r="137" spans="11:13">
      <c r="K137" s="19"/>
      <c r="M137" s="19"/>
    </row>
    <row r="138" spans="11:13">
      <c r="K138" s="19"/>
      <c r="M138" s="19"/>
    </row>
    <row r="139" spans="11:13">
      <c r="K139" s="19"/>
      <c r="M139" s="19"/>
    </row>
    <row r="140" spans="11:13">
      <c r="K140" s="19"/>
      <c r="M140" s="19"/>
    </row>
    <row r="141" spans="11:13">
      <c r="K141" s="19"/>
      <c r="M141" s="19"/>
    </row>
    <row r="142" spans="11:13">
      <c r="K142" s="19"/>
      <c r="M142" s="19"/>
    </row>
    <row r="143" spans="11:13">
      <c r="K143" s="19"/>
      <c r="M143" s="19"/>
    </row>
    <row r="144" spans="11:13">
      <c r="K144" s="19"/>
      <c r="M144" s="19"/>
    </row>
    <row r="145" spans="11:13">
      <c r="K145" s="19"/>
      <c r="M145" s="19"/>
    </row>
    <row r="146" spans="11:13">
      <c r="K146" s="19"/>
      <c r="M146" s="19"/>
    </row>
    <row r="147" spans="11:13">
      <c r="K147" s="19"/>
      <c r="M147" s="19"/>
    </row>
    <row r="148" spans="11:13">
      <c r="K148" s="19"/>
      <c r="M148" s="19"/>
    </row>
    <row r="149" spans="11:13">
      <c r="K149" s="19"/>
      <c r="M149" s="19"/>
    </row>
    <row r="150" spans="11:13">
      <c r="K150" s="19"/>
      <c r="M150" s="19"/>
    </row>
    <row r="151" spans="11:13">
      <c r="K151" s="19"/>
      <c r="M151" s="19"/>
    </row>
    <row r="152" spans="11:13">
      <c r="K152" s="19"/>
      <c r="M152" s="19"/>
    </row>
    <row r="153" spans="11:13">
      <c r="K153" s="19"/>
      <c r="M153" s="19"/>
    </row>
    <row r="154" spans="11:13">
      <c r="K154" s="19"/>
      <c r="M154" s="19"/>
    </row>
    <row r="155" spans="11:13">
      <c r="K155" s="19"/>
      <c r="M155" s="19"/>
    </row>
    <row r="156" spans="11:13">
      <c r="K156" s="19"/>
      <c r="M156" s="19"/>
    </row>
    <row r="157" spans="11:13">
      <c r="K157" s="19"/>
      <c r="M157" s="19"/>
    </row>
    <row r="158" spans="11:13">
      <c r="K158" s="19"/>
      <c r="M158" s="19"/>
    </row>
    <row r="159" spans="11:13">
      <c r="K159" s="19"/>
      <c r="M159" s="19"/>
    </row>
    <row r="160" spans="11:13">
      <c r="K160" s="19"/>
      <c r="M160" s="19"/>
    </row>
    <row r="161" spans="11:13">
      <c r="K161" s="19"/>
      <c r="M161" s="19"/>
    </row>
    <row r="162" spans="11:13">
      <c r="K162" s="19"/>
      <c r="M162" s="19"/>
    </row>
    <row r="163" spans="11:13">
      <c r="K163" s="19"/>
      <c r="M163" s="19"/>
    </row>
    <row r="164" spans="11:13">
      <c r="K164" s="19"/>
      <c r="M164" s="19"/>
    </row>
    <row r="165" spans="11:13">
      <c r="K165" s="19"/>
      <c r="M165" s="19"/>
    </row>
    <row r="166" spans="11:13">
      <c r="K166" s="19"/>
      <c r="M166" s="19"/>
    </row>
    <row r="167" spans="11:13">
      <c r="K167" s="19"/>
      <c r="M167" s="19"/>
    </row>
    <row r="168" spans="11:13">
      <c r="K168" s="19"/>
      <c r="M168" s="19"/>
    </row>
    <row r="169" spans="11:13">
      <c r="K169" s="19"/>
      <c r="M169" s="19"/>
    </row>
    <row r="170" spans="11:13">
      <c r="K170" s="19"/>
      <c r="M170" s="19"/>
    </row>
    <row r="171" spans="11:13">
      <c r="K171" s="19"/>
      <c r="M171" s="19"/>
    </row>
    <row r="172" spans="11:13">
      <c r="K172" s="19"/>
      <c r="M172" s="19"/>
    </row>
    <row r="173" spans="11:13">
      <c r="K173" s="19"/>
      <c r="M173" s="19"/>
    </row>
    <row r="174" spans="11:13">
      <c r="K174" s="19"/>
      <c r="M174" s="19"/>
    </row>
    <row r="175" spans="11:13">
      <c r="K175" s="19"/>
      <c r="M175" s="19"/>
    </row>
    <row r="176" spans="11:13">
      <c r="K176" s="19"/>
      <c r="M176" s="19"/>
    </row>
    <row r="177" spans="11:13">
      <c r="K177" s="19"/>
      <c r="M177" s="19"/>
    </row>
    <row r="178" spans="11:13">
      <c r="K178" s="19"/>
      <c r="M178" s="19"/>
    </row>
    <row r="179" spans="11:13">
      <c r="K179" s="19"/>
      <c r="M179" s="19"/>
    </row>
    <row r="180" spans="11:13">
      <c r="K180" s="19"/>
      <c r="M180" s="19"/>
    </row>
    <row r="181" spans="11:13">
      <c r="K181" s="19"/>
      <c r="M181" s="19"/>
    </row>
    <row r="182" spans="11:13">
      <c r="K182" s="19"/>
      <c r="M182" s="19"/>
    </row>
    <row r="183" spans="11:13">
      <c r="K183" s="19"/>
      <c r="M183" s="19"/>
    </row>
    <row r="184" spans="11:13">
      <c r="K184" s="19"/>
      <c r="M184" s="19"/>
    </row>
    <row r="185" spans="11:13">
      <c r="K185" s="19"/>
      <c r="M185" s="19"/>
    </row>
    <row r="186" spans="11:13">
      <c r="K186" s="19"/>
      <c r="M186" s="19"/>
    </row>
    <row r="187" spans="11:13">
      <c r="K187" s="19"/>
      <c r="M187" s="19"/>
    </row>
    <row r="188" spans="11:13">
      <c r="K188" s="19"/>
      <c r="M188" s="19"/>
    </row>
    <row r="189" spans="11:13">
      <c r="K189" s="19"/>
      <c r="M189" s="19"/>
    </row>
    <row r="190" spans="11:13">
      <c r="K190" s="19"/>
      <c r="M190" s="19"/>
    </row>
    <row r="191" spans="11:13">
      <c r="K191" s="19"/>
      <c r="M191" s="19"/>
    </row>
    <row r="192" spans="11:13">
      <c r="K192" s="19"/>
      <c r="M192" s="19"/>
    </row>
    <row r="193" spans="11:13">
      <c r="K193" s="19"/>
      <c r="M193" s="19"/>
    </row>
    <row r="194" spans="11:13">
      <c r="K194" s="19"/>
      <c r="M194" s="19"/>
    </row>
    <row r="195" spans="11:13">
      <c r="K195" s="19"/>
      <c r="M195" s="19"/>
    </row>
    <row r="196" spans="11:13">
      <c r="K196" s="19"/>
      <c r="M196" s="19"/>
    </row>
    <row r="197" spans="11:13">
      <c r="K197" s="19"/>
      <c r="M197" s="19"/>
    </row>
    <row r="198" spans="11:13">
      <c r="K198" s="19"/>
      <c r="M198" s="19"/>
    </row>
    <row r="199" spans="11:13">
      <c r="K199" s="19"/>
      <c r="M199" s="19"/>
    </row>
    <row r="200" spans="11:13">
      <c r="K200" s="19"/>
      <c r="M200" s="19"/>
    </row>
    <row r="201" spans="11:13">
      <c r="K201" s="19"/>
      <c r="M201" s="19"/>
    </row>
    <row r="202" spans="11:13">
      <c r="K202" s="19"/>
      <c r="M202" s="19"/>
    </row>
    <row r="203" spans="11:13">
      <c r="K203" s="19"/>
      <c r="M203" s="19"/>
    </row>
    <row r="204" spans="11:13">
      <c r="K204" s="19"/>
      <c r="M204" s="19"/>
    </row>
    <row r="205" spans="11:13">
      <c r="K205" s="19"/>
      <c r="M205" s="19"/>
    </row>
    <row r="206" spans="11:13">
      <c r="K206" s="19"/>
      <c r="M206" s="19"/>
    </row>
    <row r="207" spans="11:13">
      <c r="K207" s="19"/>
      <c r="M207" s="19"/>
    </row>
    <row r="208" spans="11:13">
      <c r="K208" s="19"/>
      <c r="M208" s="19"/>
    </row>
    <row r="209" spans="11:13">
      <c r="K209" s="19"/>
      <c r="M209" s="19"/>
    </row>
    <row r="210" spans="11:13">
      <c r="K210" s="19"/>
      <c r="M210" s="19"/>
    </row>
    <row r="211" spans="11:13">
      <c r="K211" s="19"/>
      <c r="M211" s="19"/>
    </row>
    <row r="212" spans="11:13">
      <c r="K212" s="19"/>
      <c r="M212" s="19"/>
    </row>
    <row r="213" spans="11:13">
      <c r="K213" s="19"/>
      <c r="M213" s="19"/>
    </row>
    <row r="214" spans="11:13">
      <c r="K214" s="19"/>
      <c r="M214" s="19"/>
    </row>
    <row r="215" spans="11:13">
      <c r="K215" s="19"/>
      <c r="M215" s="19"/>
    </row>
    <row r="216" spans="11:13">
      <c r="K216" s="19"/>
      <c r="M216" s="19"/>
    </row>
    <row r="217" spans="11:13">
      <c r="K217" s="19"/>
      <c r="M217" s="19"/>
    </row>
    <row r="218" spans="11:13">
      <c r="K218" s="19"/>
      <c r="M218" s="19"/>
    </row>
    <row r="219" spans="11:13">
      <c r="K219" s="19"/>
      <c r="M219" s="19"/>
    </row>
    <row r="220" spans="11:13">
      <c r="K220" s="19"/>
      <c r="M220" s="19"/>
    </row>
    <row r="221" spans="11:13">
      <c r="K221" s="19"/>
      <c r="M221" s="19"/>
    </row>
    <row r="222" spans="11:13">
      <c r="K222" s="19"/>
      <c r="M222" s="19"/>
    </row>
    <row r="223" spans="11:13">
      <c r="K223" s="19"/>
      <c r="M223" s="19"/>
    </row>
    <row r="224" spans="11:13">
      <c r="K224" s="19"/>
      <c r="M224" s="19"/>
    </row>
    <row r="225" spans="11:13">
      <c r="K225" s="19"/>
      <c r="M225" s="19"/>
    </row>
    <row r="226" spans="11:13">
      <c r="K226" s="19"/>
      <c r="M226" s="19"/>
    </row>
    <row r="227" spans="11:13">
      <c r="K227" s="19"/>
      <c r="M227" s="19"/>
    </row>
    <row r="228" spans="11:13">
      <c r="K228" s="19"/>
      <c r="M228" s="19"/>
    </row>
    <row r="229" spans="11:13">
      <c r="K229" s="19"/>
      <c r="M229" s="19"/>
    </row>
    <row r="230" spans="11:13">
      <c r="K230" s="19"/>
      <c r="M230" s="19"/>
    </row>
    <row r="231" spans="11:13">
      <c r="K231" s="19"/>
      <c r="M231" s="19"/>
    </row>
    <row r="232" spans="11:13">
      <c r="K232" s="19"/>
      <c r="M232" s="19"/>
    </row>
    <row r="233" spans="11:13">
      <c r="K233" s="19"/>
      <c r="M233" s="19"/>
    </row>
    <row r="234" spans="11:13">
      <c r="K234" s="19"/>
      <c r="M234" s="19"/>
    </row>
    <row r="235" spans="11:13">
      <c r="K235" s="19"/>
      <c r="M235" s="19"/>
    </row>
    <row r="236" spans="11:13">
      <c r="K236" s="19"/>
      <c r="M236" s="19"/>
    </row>
    <row r="237" spans="11:13">
      <c r="K237" s="19"/>
      <c r="M237" s="19"/>
    </row>
    <row r="238" spans="11:13">
      <c r="K238" s="19"/>
      <c r="M238" s="19"/>
    </row>
    <row r="239" spans="11:13">
      <c r="K239" s="19"/>
      <c r="M239" s="19"/>
    </row>
    <row r="240" spans="11:13">
      <c r="K240" s="19"/>
      <c r="M240" s="19"/>
    </row>
    <row r="241" spans="11:13">
      <c r="K241" s="19"/>
      <c r="M241" s="19"/>
    </row>
    <row r="242" spans="11:13">
      <c r="K242" s="19"/>
      <c r="M242" s="19"/>
    </row>
    <row r="243" spans="11:13">
      <c r="K243" s="19"/>
      <c r="M243" s="19"/>
    </row>
    <row r="244" spans="11:13">
      <c r="K244" s="19"/>
      <c r="M244" s="19"/>
    </row>
    <row r="245" spans="11:13">
      <c r="K245" s="19"/>
      <c r="M245" s="19"/>
    </row>
    <row r="246" spans="11:13">
      <c r="K246" s="19"/>
      <c r="M246" s="19"/>
    </row>
    <row r="247" spans="11:13">
      <c r="K247" s="19"/>
      <c r="M247" s="19"/>
    </row>
    <row r="248" spans="11:13">
      <c r="K248" s="19"/>
      <c r="M248" s="19"/>
    </row>
    <row r="249" spans="11:13">
      <c r="K249" s="19"/>
      <c r="M249" s="19"/>
    </row>
    <row r="250" spans="11:13">
      <c r="K250" s="19"/>
      <c r="M250" s="19"/>
    </row>
    <row r="251" spans="11:13">
      <c r="K251" s="19"/>
      <c r="M251" s="19"/>
    </row>
    <row r="252" spans="11:13">
      <c r="K252" s="19"/>
      <c r="M252" s="19"/>
    </row>
    <row r="253" spans="11:13">
      <c r="K253" s="19"/>
      <c r="M253" s="19"/>
    </row>
    <row r="254" spans="11:13">
      <c r="K254" s="19"/>
      <c r="M254" s="19"/>
    </row>
    <row r="255" spans="11:13">
      <c r="K255" s="19"/>
      <c r="M255" s="19"/>
    </row>
    <row r="256" spans="11:13">
      <c r="K256" s="19"/>
      <c r="M256" s="19"/>
    </row>
    <row r="257" spans="11:13">
      <c r="K257" s="19"/>
      <c r="M257" s="19"/>
    </row>
    <row r="258" spans="11:13">
      <c r="K258" s="19"/>
      <c r="M258" s="19"/>
    </row>
    <row r="259" spans="11:13">
      <c r="K259" s="19"/>
      <c r="M259" s="19"/>
    </row>
    <row r="260" spans="11:13">
      <c r="K260" s="19"/>
      <c r="M260" s="19"/>
    </row>
    <row r="261" spans="11:13">
      <c r="K261" s="19"/>
      <c r="M261" s="19"/>
    </row>
    <row r="262" spans="11:13">
      <c r="K262" s="19"/>
      <c r="M262" s="19"/>
    </row>
    <row r="263" spans="11:13">
      <c r="K263" s="19"/>
      <c r="M263" s="19"/>
    </row>
    <row r="264" spans="11:13">
      <c r="K264" s="19"/>
      <c r="M264" s="19"/>
    </row>
    <row r="265" spans="11:13">
      <c r="K265" s="19"/>
      <c r="M265" s="19"/>
    </row>
    <row r="266" spans="11:13">
      <c r="K266" s="19"/>
      <c r="M266" s="19"/>
    </row>
    <row r="267" spans="11:13">
      <c r="K267" s="19"/>
      <c r="M267" s="19"/>
    </row>
    <row r="268" spans="11:13">
      <c r="K268" s="19"/>
      <c r="M268" s="19"/>
    </row>
    <row r="269" spans="11:13">
      <c r="K269" s="19"/>
      <c r="M269" s="19"/>
    </row>
    <row r="270" spans="11:13">
      <c r="K270" s="19"/>
      <c r="M270" s="19"/>
    </row>
    <row r="271" spans="11:13">
      <c r="K271" s="19"/>
      <c r="M271" s="19"/>
    </row>
    <row r="272" spans="11:13">
      <c r="K272" s="19"/>
      <c r="M272" s="19"/>
    </row>
    <row r="273" spans="11:13">
      <c r="K273" s="19"/>
      <c r="M273" s="19"/>
    </row>
    <row r="274" spans="11:13">
      <c r="K274" s="19"/>
      <c r="M274" s="19"/>
    </row>
    <row r="275" spans="11:13">
      <c r="K275" s="19"/>
      <c r="M275" s="19"/>
    </row>
    <row r="276" spans="11:13">
      <c r="K276" s="19"/>
      <c r="M276" s="19"/>
    </row>
    <row r="277" spans="11:13">
      <c r="K277" s="19"/>
      <c r="M277" s="19"/>
    </row>
    <row r="278" spans="11:13">
      <c r="K278" s="19"/>
      <c r="M278" s="19"/>
    </row>
    <row r="279" spans="11:13">
      <c r="K279" s="19"/>
      <c r="M279" s="19"/>
    </row>
    <row r="280" spans="11:13">
      <c r="K280" s="19"/>
      <c r="M280" s="19"/>
    </row>
    <row r="281" spans="11:13">
      <c r="K281" s="19"/>
      <c r="M281" s="19"/>
    </row>
    <row r="282" spans="11:13">
      <c r="K282" s="19"/>
      <c r="M282" s="19"/>
    </row>
    <row r="283" spans="11:13">
      <c r="K283" s="19"/>
      <c r="M283" s="19"/>
    </row>
    <row r="284" spans="11:13">
      <c r="K284" s="19"/>
      <c r="M284" s="19"/>
    </row>
    <row r="285" spans="11:13">
      <c r="K285" s="19"/>
      <c r="M285" s="19"/>
    </row>
    <row r="286" spans="11:13">
      <c r="K286" s="19"/>
      <c r="M286" s="19"/>
    </row>
    <row r="287" spans="11:13">
      <c r="K287" s="19"/>
      <c r="M287" s="19"/>
    </row>
    <row r="288" spans="11:13">
      <c r="K288" s="19"/>
      <c r="M288" s="19"/>
    </row>
    <row r="289" spans="11:13">
      <c r="K289" s="19"/>
      <c r="M289" s="19"/>
    </row>
    <row r="290" spans="11:13">
      <c r="K290" s="19"/>
      <c r="M290" s="19"/>
    </row>
    <row r="291" spans="11:13">
      <c r="K291" s="19"/>
      <c r="M291" s="19"/>
    </row>
    <row r="292" spans="11:13">
      <c r="K292" s="19"/>
      <c r="M292" s="19"/>
    </row>
    <row r="293" spans="11:13">
      <c r="K293" s="19"/>
      <c r="M293" s="19"/>
    </row>
    <row r="294" spans="11:13">
      <c r="K294" s="19"/>
      <c r="M294" s="19"/>
    </row>
    <row r="295" spans="11:13">
      <c r="K295" s="19"/>
      <c r="M295" s="19"/>
    </row>
    <row r="296" spans="11:13">
      <c r="K296" s="19"/>
      <c r="M296" s="19"/>
    </row>
    <row r="297" spans="11:13">
      <c r="K297" s="19"/>
      <c r="M297" s="19"/>
    </row>
    <row r="298" spans="11:13">
      <c r="K298" s="19"/>
      <c r="M298" s="19"/>
    </row>
    <row r="299" spans="11:13">
      <c r="K299" s="19"/>
      <c r="M299" s="19"/>
    </row>
    <row r="300" spans="11:13">
      <c r="K300" s="19"/>
      <c r="M300" s="19"/>
    </row>
    <row r="301" spans="11:13">
      <c r="K301" s="19"/>
      <c r="M301" s="19"/>
    </row>
    <row r="302" spans="11:13">
      <c r="K302" s="19"/>
      <c r="M302" s="19"/>
    </row>
    <row r="303" spans="11:13">
      <c r="K303" s="19"/>
      <c r="M303" s="19"/>
    </row>
    <row r="304" spans="11:13">
      <c r="K304" s="19"/>
      <c r="M304" s="19"/>
    </row>
    <row r="305" spans="11:13">
      <c r="K305" s="19"/>
      <c r="M305" s="19"/>
    </row>
    <row r="306" spans="11:13">
      <c r="K306" s="19"/>
      <c r="M306" s="19"/>
    </row>
    <row r="307" spans="11:13">
      <c r="K307" s="19"/>
      <c r="M307" s="19"/>
    </row>
    <row r="308" spans="11:13">
      <c r="K308" s="19"/>
      <c r="M308" s="19"/>
    </row>
    <row r="309" spans="11:13">
      <c r="K309" s="19"/>
      <c r="M309" s="19"/>
    </row>
    <row r="310" spans="11:13">
      <c r="K310" s="19"/>
      <c r="M310" s="19"/>
    </row>
    <row r="311" spans="11:13">
      <c r="K311" s="19"/>
      <c r="M311" s="19"/>
    </row>
    <row r="312" spans="11:13">
      <c r="K312" s="19"/>
      <c r="M312" s="19"/>
    </row>
    <row r="313" spans="11:13">
      <c r="K313" s="19"/>
      <c r="M313" s="19"/>
    </row>
    <row r="314" spans="11:13">
      <c r="K314" s="19"/>
      <c r="M314" s="19"/>
    </row>
    <row r="315" spans="11:13">
      <c r="K315" s="19"/>
      <c r="M315" s="19"/>
    </row>
    <row r="316" spans="11:13">
      <c r="K316" s="19"/>
      <c r="M316" s="19"/>
    </row>
    <row r="317" spans="11:13">
      <c r="K317" s="19"/>
      <c r="M317" s="19"/>
    </row>
    <row r="318" spans="11:13">
      <c r="K318" s="19"/>
      <c r="M318" s="19"/>
    </row>
    <row r="319" spans="11:13">
      <c r="K319" s="19"/>
      <c r="M319" s="19"/>
    </row>
    <row r="320" spans="11:13">
      <c r="K320" s="19"/>
      <c r="M320" s="19"/>
    </row>
    <row r="321" spans="11:13">
      <c r="K321" s="19"/>
      <c r="M321" s="19"/>
    </row>
    <row r="322" spans="11:13">
      <c r="K322" s="19"/>
      <c r="M322" s="19"/>
    </row>
    <row r="323" spans="11:13">
      <c r="K323" s="19"/>
      <c r="M323" s="19"/>
    </row>
    <row r="324" spans="11:13">
      <c r="K324" s="19"/>
      <c r="M324" s="19"/>
    </row>
    <row r="325" spans="11:13">
      <c r="K325" s="19"/>
      <c r="M325" s="19"/>
    </row>
    <row r="326" spans="11:13">
      <c r="K326" s="19"/>
      <c r="M326" s="19"/>
    </row>
    <row r="327" spans="11:13">
      <c r="K327" s="19"/>
      <c r="M327" s="19"/>
    </row>
    <row r="328" spans="11:13">
      <c r="K328" s="19"/>
      <c r="M328" s="19"/>
    </row>
    <row r="329" spans="11:13">
      <c r="K329" s="19"/>
      <c r="M329" s="19"/>
    </row>
    <row r="330" spans="11:13">
      <c r="K330" s="19"/>
      <c r="M330" s="19"/>
    </row>
    <row r="331" spans="11:13">
      <c r="K331" s="19"/>
      <c r="M331" s="19"/>
    </row>
    <row r="332" spans="11:13">
      <c r="K332" s="19"/>
      <c r="M332" s="19"/>
    </row>
    <row r="333" spans="11:13">
      <c r="K333" s="19"/>
      <c r="M333" s="19"/>
    </row>
    <row r="334" spans="11:13">
      <c r="K334" s="19"/>
      <c r="M334" s="19"/>
    </row>
    <row r="335" spans="11:13">
      <c r="K335" s="19"/>
      <c r="M335" s="19"/>
    </row>
    <row r="336" spans="11:13">
      <c r="K336" s="19"/>
      <c r="M336" s="19"/>
    </row>
    <row r="337" spans="11:13">
      <c r="K337" s="19"/>
      <c r="M337" s="19"/>
    </row>
    <row r="338" spans="11:13">
      <c r="K338" s="19"/>
      <c r="M338" s="19"/>
    </row>
    <row r="339" spans="11:13">
      <c r="K339" s="19"/>
      <c r="M339" s="19"/>
    </row>
    <row r="340" spans="11:13">
      <c r="K340" s="19"/>
      <c r="M340" s="19"/>
    </row>
    <row r="341" spans="11:13">
      <c r="K341" s="19"/>
      <c r="M341" s="19"/>
    </row>
    <row r="342" spans="11:13">
      <c r="K342" s="19"/>
      <c r="M342" s="19"/>
    </row>
    <row r="343" spans="11:13">
      <c r="K343" s="19"/>
      <c r="M343" s="19"/>
    </row>
    <row r="344" spans="11:13">
      <c r="K344" s="19"/>
      <c r="M344" s="19"/>
    </row>
    <row r="345" spans="11:13">
      <c r="K345" s="19"/>
      <c r="M345" s="19"/>
    </row>
    <row r="346" spans="11:13">
      <c r="K346" s="19"/>
      <c r="M346" s="19"/>
    </row>
    <row r="347" spans="11:13">
      <c r="K347" s="19"/>
      <c r="M347" s="19"/>
    </row>
    <row r="348" spans="11:13">
      <c r="K348" s="19"/>
      <c r="M348" s="19"/>
    </row>
    <row r="349" spans="11:13">
      <c r="K349" s="19"/>
      <c r="M349" s="19"/>
    </row>
    <row r="350" spans="11:13">
      <c r="K350" s="19"/>
      <c r="M350" s="19"/>
    </row>
    <row r="351" spans="11:13">
      <c r="K351" s="19"/>
      <c r="M351" s="19"/>
    </row>
    <row r="352" spans="11:13">
      <c r="K352" s="19"/>
      <c r="M352" s="19"/>
    </row>
    <row r="353" spans="11:13">
      <c r="K353" s="19"/>
      <c r="M353" s="19"/>
    </row>
    <row r="354" spans="11:13">
      <c r="K354" s="19"/>
      <c r="M354" s="19"/>
    </row>
    <row r="355" spans="11:13">
      <c r="K355" s="19"/>
      <c r="M355" s="19"/>
    </row>
    <row r="356" spans="11:13">
      <c r="K356" s="19"/>
      <c r="M356" s="19"/>
    </row>
    <row r="357" spans="11:13">
      <c r="K357" s="19"/>
      <c r="M357" s="19"/>
    </row>
    <row r="358" spans="11:13">
      <c r="K358" s="19"/>
      <c r="M358" s="19"/>
    </row>
    <row r="359" spans="11:13">
      <c r="K359" s="19"/>
      <c r="M359" s="19"/>
    </row>
    <row r="360" spans="11:13">
      <c r="K360" s="19"/>
      <c r="M360" s="19"/>
    </row>
    <row r="361" spans="11:13">
      <c r="K361" s="19"/>
      <c r="M361" s="19"/>
    </row>
    <row r="362" spans="11:13">
      <c r="K362" s="19"/>
      <c r="M362" s="19"/>
    </row>
    <row r="363" spans="11:13">
      <c r="K363" s="19"/>
      <c r="M363" s="19"/>
    </row>
    <row r="364" spans="11:13">
      <c r="K364" s="19"/>
      <c r="M364" s="19"/>
    </row>
    <row r="365" spans="11:13">
      <c r="K365" s="19"/>
      <c r="M365" s="19"/>
    </row>
    <row r="366" spans="11:13">
      <c r="K366" s="19"/>
      <c r="M366" s="19"/>
    </row>
    <row r="367" spans="11:13">
      <c r="K367" s="19"/>
      <c r="M367" s="19"/>
    </row>
    <row r="368" spans="11:13">
      <c r="K368" s="19"/>
      <c r="M368" s="19"/>
    </row>
    <row r="369" spans="11:13">
      <c r="K369" s="19"/>
      <c r="M369" s="19"/>
    </row>
    <row r="370" spans="11:13">
      <c r="K370" s="19"/>
      <c r="M370" s="19"/>
    </row>
    <row r="371" spans="11:13">
      <c r="K371" s="19"/>
      <c r="M371" s="19"/>
    </row>
    <row r="372" spans="11:13">
      <c r="K372" s="19"/>
      <c r="M372" s="19"/>
    </row>
    <row r="373" spans="11:13">
      <c r="K373" s="19"/>
      <c r="M373" s="19"/>
    </row>
    <row r="374" spans="11:13">
      <c r="K374" s="19"/>
      <c r="M374" s="19"/>
    </row>
    <row r="375" spans="11:13">
      <c r="K375" s="19"/>
      <c r="M375" s="19"/>
    </row>
    <row r="376" spans="11:13">
      <c r="K376" s="19"/>
      <c r="M376" s="19"/>
    </row>
    <row r="377" spans="11:13">
      <c r="K377" s="19"/>
      <c r="M377" s="19"/>
    </row>
    <row r="378" spans="11:13">
      <c r="K378" s="19"/>
      <c r="M378" s="19"/>
    </row>
    <row r="379" spans="11:13">
      <c r="K379" s="19"/>
      <c r="M379" s="19"/>
    </row>
    <row r="380" spans="11:13">
      <c r="K380" s="19"/>
      <c r="M380" s="19"/>
    </row>
    <row r="381" spans="11:13">
      <c r="K381" s="19"/>
      <c r="M381" s="19"/>
    </row>
    <row r="382" spans="11:13">
      <c r="K382" s="19"/>
      <c r="M382" s="19"/>
    </row>
    <row r="383" spans="11:13">
      <c r="K383" s="19"/>
      <c r="M383" s="19"/>
    </row>
    <row r="384" spans="11:13">
      <c r="K384" s="19"/>
      <c r="M384" s="19"/>
    </row>
    <row r="385" spans="11:13">
      <c r="K385" s="19"/>
      <c r="M385" s="19"/>
    </row>
    <row r="386" spans="11:13">
      <c r="K386" s="19"/>
      <c r="M386" s="19"/>
    </row>
    <row r="387" spans="11:13">
      <c r="K387" s="19"/>
      <c r="M387" s="19"/>
    </row>
    <row r="388" spans="11:13">
      <c r="K388" s="19"/>
      <c r="M388" s="19"/>
    </row>
    <row r="389" spans="11:13">
      <c r="K389" s="19"/>
      <c r="M389" s="19"/>
    </row>
    <row r="390" spans="11:13">
      <c r="K390" s="19"/>
      <c r="M390" s="19"/>
    </row>
    <row r="391" spans="11:13">
      <c r="K391" s="19"/>
      <c r="M391" s="19"/>
    </row>
    <row r="392" spans="11:13">
      <c r="K392" s="19"/>
      <c r="M392" s="19"/>
    </row>
    <row r="393" spans="11:13">
      <c r="K393" s="19"/>
      <c r="M393" s="19"/>
    </row>
    <row r="394" spans="11:13">
      <c r="K394" s="19"/>
      <c r="M394" s="19"/>
    </row>
    <row r="395" spans="11:13">
      <c r="K395" s="19"/>
      <c r="M395" s="19"/>
    </row>
    <row r="396" spans="11:13">
      <c r="K396" s="19"/>
      <c r="M396" s="19"/>
    </row>
    <row r="397" spans="11:13">
      <c r="K397" s="19"/>
      <c r="M397" s="19"/>
    </row>
    <row r="398" spans="11:13">
      <c r="K398" s="19"/>
      <c r="M398" s="19"/>
    </row>
    <row r="399" spans="11:13">
      <c r="K399" s="19"/>
      <c r="M399" s="19"/>
    </row>
    <row r="400" spans="11:13">
      <c r="K400" s="19"/>
      <c r="M400" s="19"/>
    </row>
    <row r="401" spans="11:13">
      <c r="K401" s="19"/>
      <c r="M401" s="19"/>
    </row>
    <row r="402" spans="11:13">
      <c r="K402" s="19"/>
      <c r="M402" s="19"/>
    </row>
    <row r="403" spans="11:13">
      <c r="K403" s="19"/>
      <c r="M403" s="19"/>
    </row>
    <row r="404" spans="11:13">
      <c r="K404" s="19"/>
      <c r="M404" s="19"/>
    </row>
    <row r="405" spans="11:13">
      <c r="K405" s="19"/>
      <c r="M405" s="19"/>
    </row>
    <row r="406" spans="11:13">
      <c r="K406" s="19"/>
      <c r="M406" s="19"/>
    </row>
    <row r="407" spans="11:13">
      <c r="K407" s="19"/>
      <c r="M407" s="19"/>
    </row>
    <row r="408" spans="11:13">
      <c r="K408" s="19"/>
      <c r="M408" s="19"/>
    </row>
    <row r="409" spans="11:13">
      <c r="K409" s="19"/>
      <c r="M409" s="19"/>
    </row>
    <row r="410" spans="11:13">
      <c r="K410" s="19"/>
      <c r="M410" s="19"/>
    </row>
    <row r="411" spans="11:13">
      <c r="K411" s="19"/>
      <c r="M411" s="19"/>
    </row>
    <row r="412" spans="11:13">
      <c r="K412" s="19"/>
      <c r="M412" s="19"/>
    </row>
    <row r="413" spans="11:13">
      <c r="K413" s="19"/>
      <c r="M413" s="19"/>
    </row>
    <row r="414" spans="11:13">
      <c r="K414" s="19"/>
      <c r="M414" s="19"/>
    </row>
    <row r="415" spans="11:13">
      <c r="K415" s="19"/>
      <c r="M415" s="19"/>
    </row>
    <row r="416" spans="11:13">
      <c r="K416" s="19"/>
      <c r="M416" s="19"/>
    </row>
    <row r="417" spans="11:13">
      <c r="K417" s="19"/>
      <c r="M417" s="19"/>
    </row>
    <row r="418" spans="11:13">
      <c r="K418" s="19"/>
      <c r="M418" s="19"/>
    </row>
    <row r="419" spans="11:13">
      <c r="K419" s="19"/>
      <c r="M419" s="19"/>
    </row>
    <row r="420" spans="11:13">
      <c r="K420" s="19"/>
      <c r="M420" s="19"/>
    </row>
    <row r="421" spans="11:13">
      <c r="K421" s="19"/>
      <c r="M421" s="19"/>
    </row>
    <row r="422" spans="11:13">
      <c r="K422" s="19"/>
      <c r="M422" s="19"/>
    </row>
    <row r="423" spans="11:13">
      <c r="K423" s="19"/>
      <c r="M423" s="19"/>
    </row>
    <row r="424" spans="11:13">
      <c r="K424" s="19"/>
      <c r="M424" s="19"/>
    </row>
    <row r="425" spans="11:13">
      <c r="K425" s="19"/>
      <c r="M425" s="19"/>
    </row>
    <row r="426" spans="11:13">
      <c r="K426" s="19"/>
      <c r="M426" s="19"/>
    </row>
    <row r="427" spans="11:13">
      <c r="K427" s="19"/>
      <c r="M427" s="19"/>
    </row>
    <row r="428" spans="11:13">
      <c r="K428" s="19"/>
      <c r="M428" s="19"/>
    </row>
    <row r="429" spans="11:13">
      <c r="K429" s="19"/>
      <c r="M429" s="19"/>
    </row>
    <row r="430" spans="11:13">
      <c r="K430" s="19"/>
      <c r="M430" s="19"/>
    </row>
    <row r="431" spans="11:13">
      <c r="K431" s="19"/>
      <c r="M431" s="19"/>
    </row>
    <row r="432" spans="11:13">
      <c r="K432" s="19"/>
      <c r="M432" s="19"/>
    </row>
    <row r="433" spans="11:13">
      <c r="K433" s="19"/>
      <c r="M433" s="19"/>
    </row>
    <row r="434" spans="11:13">
      <c r="K434" s="19"/>
      <c r="M434" s="19"/>
    </row>
    <row r="435" spans="11:13">
      <c r="K435" s="19"/>
      <c r="M435" s="19"/>
    </row>
    <row r="436" spans="11:13">
      <c r="K436" s="19"/>
      <c r="M436" s="19"/>
    </row>
    <row r="437" spans="11:13">
      <c r="K437" s="19"/>
      <c r="M437" s="19"/>
    </row>
    <row r="438" spans="11:13">
      <c r="K438" s="19"/>
      <c r="M438" s="19"/>
    </row>
    <row r="439" spans="11:13">
      <c r="K439" s="19"/>
      <c r="M439" s="19"/>
    </row>
    <row r="440" spans="11:13">
      <c r="K440" s="19"/>
      <c r="M440" s="19"/>
    </row>
    <row r="441" spans="11:13">
      <c r="K441" s="19"/>
      <c r="M441" s="19"/>
    </row>
    <row r="442" spans="11:13">
      <c r="K442" s="19"/>
      <c r="M442" s="19"/>
    </row>
    <row r="443" spans="11:13">
      <c r="K443" s="19"/>
      <c r="M443" s="19"/>
    </row>
    <row r="444" spans="11:13">
      <c r="K444" s="19"/>
      <c r="M444" s="19"/>
    </row>
    <row r="445" spans="11:13">
      <c r="K445" s="19"/>
      <c r="M445" s="19"/>
    </row>
    <row r="446" spans="11:13">
      <c r="K446" s="19"/>
      <c r="M446" s="19"/>
    </row>
    <row r="447" spans="11:13">
      <c r="K447" s="19"/>
      <c r="M447" s="19"/>
    </row>
    <row r="448" spans="11:13">
      <c r="K448" s="19"/>
      <c r="M448" s="19"/>
    </row>
    <row r="449" spans="11:13">
      <c r="K449" s="19"/>
      <c r="M449" s="19"/>
    </row>
    <row r="450" spans="11:13">
      <c r="K450" s="19"/>
      <c r="M450" s="19"/>
    </row>
    <row r="451" spans="11:13">
      <c r="K451" s="19"/>
      <c r="M451" s="19"/>
    </row>
    <row r="452" spans="11:13">
      <c r="K452" s="19"/>
      <c r="M452" s="19"/>
    </row>
    <row r="453" spans="11:13">
      <c r="K453" s="19"/>
      <c r="M453" s="19"/>
    </row>
    <row r="454" spans="11:13">
      <c r="K454" s="19"/>
      <c r="M454" s="19"/>
    </row>
    <row r="455" spans="11:13">
      <c r="K455" s="19"/>
      <c r="M455" s="19"/>
    </row>
    <row r="456" spans="11:13">
      <c r="K456" s="19"/>
      <c r="M456" s="19"/>
    </row>
    <row r="457" spans="11:13">
      <c r="K457" s="19"/>
      <c r="M457" s="19"/>
    </row>
    <row r="458" spans="11:13">
      <c r="K458" s="19"/>
      <c r="M458" s="19"/>
    </row>
    <row r="459" spans="11:13">
      <c r="K459" s="19"/>
      <c r="M459" s="19"/>
    </row>
    <row r="460" spans="11:13">
      <c r="K460" s="19"/>
      <c r="M460" s="19"/>
    </row>
    <row r="461" spans="11:13">
      <c r="K461" s="19"/>
      <c r="M461" s="19"/>
    </row>
    <row r="462" spans="11:13">
      <c r="K462" s="19"/>
      <c r="M462" s="19"/>
    </row>
    <row r="463" spans="11:13">
      <c r="K463" s="19"/>
      <c r="M463" s="19"/>
    </row>
    <row r="464" spans="11:13">
      <c r="K464" s="19"/>
      <c r="M464" s="19"/>
    </row>
    <row r="465" spans="11:13">
      <c r="K465" s="19"/>
      <c r="M465" s="19"/>
    </row>
    <row r="466" spans="11:13">
      <c r="K466" s="19"/>
      <c r="M466" s="19"/>
    </row>
    <row r="467" spans="11:13">
      <c r="K467" s="19"/>
      <c r="M467" s="19"/>
    </row>
    <row r="468" spans="11:13">
      <c r="K468" s="19"/>
      <c r="M468" s="19"/>
    </row>
    <row r="469" spans="11:13">
      <c r="K469" s="19"/>
      <c r="M469" s="19"/>
    </row>
    <row r="470" spans="11:13">
      <c r="K470" s="19"/>
      <c r="M470" s="19"/>
    </row>
    <row r="471" spans="11:13">
      <c r="K471" s="19"/>
      <c r="M471" s="19"/>
    </row>
    <row r="472" spans="11:13">
      <c r="K472" s="19"/>
      <c r="M472" s="19"/>
    </row>
    <row r="473" spans="11:13">
      <c r="K473" s="19"/>
      <c r="M473" s="19"/>
    </row>
    <row r="474" spans="11:13">
      <c r="K474" s="19"/>
      <c r="M474" s="19"/>
    </row>
    <row r="475" spans="11:13">
      <c r="K475" s="19"/>
      <c r="M475" s="19"/>
    </row>
    <row r="476" spans="11:13">
      <c r="K476" s="19"/>
      <c r="M476" s="19"/>
    </row>
    <row r="477" spans="11:13">
      <c r="K477" s="19"/>
      <c r="M477" s="19"/>
    </row>
    <row r="478" spans="11:13">
      <c r="K478" s="19"/>
      <c r="M478" s="19"/>
    </row>
    <row r="479" spans="11:13">
      <c r="K479" s="19"/>
      <c r="M479" s="19"/>
    </row>
    <row r="480" spans="11:13">
      <c r="K480" s="19"/>
      <c r="M480" s="19"/>
    </row>
    <row r="481" spans="11:13">
      <c r="K481" s="19"/>
      <c r="M481" s="19"/>
    </row>
    <row r="482" spans="11:13">
      <c r="K482" s="19"/>
      <c r="M482" s="19"/>
    </row>
    <row r="483" spans="11:13">
      <c r="K483" s="19"/>
      <c r="M483" s="19"/>
    </row>
    <row r="484" spans="11:13">
      <c r="K484" s="19"/>
      <c r="M484" s="19"/>
    </row>
    <row r="485" spans="11:13">
      <c r="K485" s="19"/>
      <c r="M485" s="19"/>
    </row>
    <row r="486" spans="11:13">
      <c r="K486" s="19"/>
      <c r="M486" s="19"/>
    </row>
    <row r="487" spans="11:13">
      <c r="K487" s="19"/>
      <c r="M487" s="19"/>
    </row>
    <row r="488" spans="11:13">
      <c r="K488" s="19"/>
      <c r="M488" s="19"/>
    </row>
    <row r="489" spans="11:13">
      <c r="K489" s="19"/>
      <c r="M489" s="19"/>
    </row>
    <row r="490" spans="11:13">
      <c r="K490" s="19"/>
      <c r="M490" s="19"/>
    </row>
    <row r="491" spans="11:13">
      <c r="K491" s="19"/>
      <c r="M491" s="19"/>
    </row>
    <row r="492" spans="11:13">
      <c r="K492" s="19"/>
      <c r="M492" s="19"/>
    </row>
    <row r="493" spans="11:13">
      <c r="K493" s="19"/>
      <c r="M493" s="19"/>
    </row>
    <row r="494" spans="11:13">
      <c r="K494" s="19"/>
      <c r="M494" s="19"/>
    </row>
    <row r="495" spans="11:13">
      <c r="K495" s="19"/>
      <c r="M495" s="19"/>
    </row>
    <row r="496" spans="11:13">
      <c r="K496" s="19"/>
      <c r="M496" s="19"/>
    </row>
    <row r="497" spans="11:13">
      <c r="K497" s="19"/>
      <c r="M497" s="19"/>
    </row>
    <row r="498" spans="11:13">
      <c r="K498" s="19"/>
      <c r="M498" s="19"/>
    </row>
    <row r="499" spans="11:13">
      <c r="K499" s="19"/>
      <c r="M499" s="19"/>
    </row>
    <row r="500" spans="11:13">
      <c r="K500" s="19"/>
      <c r="M500" s="19"/>
    </row>
    <row r="501" spans="11:13">
      <c r="K501" s="19"/>
      <c r="M501" s="19"/>
    </row>
    <row r="502" spans="11:13">
      <c r="K502" s="19"/>
      <c r="M502" s="19"/>
    </row>
    <row r="503" spans="11:13">
      <c r="K503" s="19"/>
      <c r="M503" s="19"/>
    </row>
    <row r="504" spans="11:13">
      <c r="K504" s="19"/>
      <c r="M504" s="19"/>
    </row>
    <row r="505" spans="11:13">
      <c r="K505" s="19"/>
      <c r="M505" s="19"/>
    </row>
    <row r="506" spans="11:13">
      <c r="K506" s="19"/>
      <c r="M506" s="19"/>
    </row>
    <row r="507" spans="11:13">
      <c r="K507" s="19"/>
      <c r="M507" s="19"/>
    </row>
    <row r="508" spans="11:13">
      <c r="K508" s="19"/>
      <c r="M508" s="19"/>
    </row>
    <row r="509" spans="11:13">
      <c r="K509" s="19"/>
      <c r="M509" s="19"/>
    </row>
    <row r="510" spans="11:13">
      <c r="K510" s="19"/>
      <c r="M510" s="19"/>
    </row>
    <row r="511" spans="11:13">
      <c r="K511" s="19"/>
      <c r="M511" s="19"/>
    </row>
    <row r="512" spans="11:13">
      <c r="K512" s="19"/>
      <c r="M512" s="19"/>
    </row>
    <row r="513" spans="11:13">
      <c r="K513" s="19"/>
      <c r="M513" s="19"/>
    </row>
    <row r="514" spans="11:13">
      <c r="K514" s="19"/>
      <c r="M514" s="19"/>
    </row>
    <row r="515" spans="11:13">
      <c r="K515" s="19"/>
      <c r="M515" s="19"/>
    </row>
    <row r="516" spans="11:13">
      <c r="K516" s="19"/>
      <c r="M516" s="19"/>
    </row>
    <row r="517" spans="11:13">
      <c r="K517" s="19"/>
      <c r="M517" s="19"/>
    </row>
    <row r="518" spans="11:13">
      <c r="K518" s="19"/>
      <c r="M518" s="19"/>
    </row>
    <row r="519" spans="11:13">
      <c r="K519" s="19"/>
      <c r="M519" s="19"/>
    </row>
    <row r="520" spans="11:13">
      <c r="K520" s="19"/>
      <c r="M520" s="19"/>
    </row>
    <row r="521" spans="11:13">
      <c r="K521" s="19"/>
      <c r="M521" s="19"/>
    </row>
    <row r="522" spans="11:13">
      <c r="K522" s="19"/>
      <c r="M522" s="19"/>
    </row>
    <row r="523" spans="11:13">
      <c r="K523" s="19"/>
      <c r="M523" s="19"/>
    </row>
    <row r="524" spans="11:13">
      <c r="K524" s="19"/>
      <c r="M524" s="19"/>
    </row>
    <row r="525" spans="11:13">
      <c r="K525" s="19"/>
      <c r="M525" s="19"/>
    </row>
    <row r="526" spans="11:13">
      <c r="K526" s="19"/>
      <c r="M526" s="19"/>
    </row>
    <row r="527" spans="11:13">
      <c r="K527" s="19"/>
      <c r="M527" s="19"/>
    </row>
    <row r="528" spans="11:13">
      <c r="K528" s="19"/>
      <c r="M528" s="19"/>
    </row>
    <row r="529" spans="11:13">
      <c r="K529" s="19"/>
      <c r="M529" s="19"/>
    </row>
    <row r="530" spans="11:13">
      <c r="K530" s="19"/>
      <c r="M530" s="19"/>
    </row>
    <row r="531" spans="11:13">
      <c r="K531" s="19"/>
      <c r="M531" s="19"/>
    </row>
    <row r="532" spans="11:13">
      <c r="K532" s="19"/>
      <c r="M532" s="19"/>
    </row>
    <row r="533" spans="11:13">
      <c r="K533" s="19"/>
      <c r="M533" s="19"/>
    </row>
    <row r="534" spans="11:13">
      <c r="K534" s="19"/>
      <c r="M534" s="19"/>
    </row>
    <row r="535" spans="11:13">
      <c r="K535" s="19"/>
      <c r="M535" s="19"/>
    </row>
    <row r="536" spans="11:13">
      <c r="K536" s="19"/>
      <c r="M536" s="19"/>
    </row>
    <row r="537" spans="11:13">
      <c r="K537" s="19"/>
      <c r="M537" s="19"/>
    </row>
    <row r="538" spans="11:13">
      <c r="K538" s="19"/>
      <c r="M538" s="19"/>
    </row>
    <row r="539" spans="11:13">
      <c r="K539" s="19"/>
      <c r="M539" s="19"/>
    </row>
    <row r="540" spans="11:13">
      <c r="K540" s="19"/>
      <c r="M540" s="19"/>
    </row>
    <row r="541" spans="11:13">
      <c r="K541" s="19"/>
      <c r="M541" s="19"/>
    </row>
    <row r="542" spans="11:13">
      <c r="K542" s="19"/>
      <c r="M542" s="19"/>
    </row>
    <row r="543" spans="11:13">
      <c r="K543" s="19"/>
      <c r="M543" s="19"/>
    </row>
    <row r="544" spans="11:13">
      <c r="K544" s="19"/>
      <c r="M544" s="19"/>
    </row>
    <row r="545" spans="11:13">
      <c r="K545" s="19"/>
      <c r="M545" s="19"/>
    </row>
    <row r="546" spans="11:13">
      <c r="K546" s="19"/>
      <c r="M546" s="19"/>
    </row>
    <row r="547" spans="11:13">
      <c r="K547" s="19"/>
      <c r="M547" s="19"/>
    </row>
    <row r="548" spans="11:13">
      <c r="K548" s="19"/>
      <c r="M548" s="19"/>
    </row>
    <row r="549" spans="11:13">
      <c r="K549" s="19"/>
      <c r="M549" s="19"/>
    </row>
    <row r="550" spans="11:13">
      <c r="K550" s="19"/>
      <c r="M550" s="19"/>
    </row>
    <row r="551" spans="11:13">
      <c r="K551" s="19"/>
      <c r="M551" s="19"/>
    </row>
    <row r="552" spans="11:13">
      <c r="K552" s="19"/>
      <c r="M552" s="19"/>
    </row>
    <row r="553" spans="11:13">
      <c r="K553" s="19"/>
      <c r="M553" s="19"/>
    </row>
    <row r="554" spans="11:13">
      <c r="K554" s="19"/>
      <c r="M554" s="19"/>
    </row>
    <row r="555" spans="11:13">
      <c r="K555" s="19"/>
      <c r="M555" s="19"/>
    </row>
    <row r="556" spans="11:13">
      <c r="K556" s="19"/>
      <c r="M556" s="19"/>
    </row>
    <row r="557" spans="11:13">
      <c r="K557" s="19"/>
      <c r="M557" s="19"/>
    </row>
    <row r="558" spans="11:13">
      <c r="K558" s="19"/>
      <c r="M558" s="19"/>
    </row>
    <row r="559" spans="11:13">
      <c r="K559" s="19"/>
      <c r="M559" s="19"/>
    </row>
    <row r="560" spans="11:13">
      <c r="K560" s="19"/>
      <c r="M560" s="19"/>
    </row>
    <row r="561" spans="11:13">
      <c r="K561" s="19"/>
      <c r="M561" s="19"/>
    </row>
    <row r="562" spans="11:13">
      <c r="K562" s="19"/>
      <c r="M562" s="19"/>
    </row>
    <row r="563" spans="11:13">
      <c r="K563" s="19"/>
      <c r="M563" s="19"/>
    </row>
    <row r="564" spans="11:13">
      <c r="K564" s="19"/>
      <c r="M564" s="19"/>
    </row>
    <row r="565" spans="11:13">
      <c r="K565" s="19"/>
      <c r="M565" s="19"/>
    </row>
    <row r="566" spans="11:13">
      <c r="K566" s="19"/>
      <c r="M566" s="19"/>
    </row>
    <row r="567" spans="11:13">
      <c r="K567" s="19"/>
      <c r="M567" s="19"/>
    </row>
    <row r="568" spans="11:13">
      <c r="K568" s="19"/>
      <c r="M568" s="19"/>
    </row>
    <row r="569" spans="11:13">
      <c r="K569" s="19"/>
      <c r="M569" s="19"/>
    </row>
    <row r="570" spans="11:13">
      <c r="K570" s="19"/>
      <c r="M570" s="19"/>
    </row>
    <row r="571" spans="11:13">
      <c r="K571" s="19"/>
      <c r="M571" s="19"/>
    </row>
    <row r="572" spans="11:13">
      <c r="K572" s="19"/>
      <c r="M572" s="19"/>
    </row>
    <row r="573" spans="11:13">
      <c r="K573" s="19"/>
      <c r="M573" s="19"/>
    </row>
    <row r="574" spans="11:13">
      <c r="K574" s="19"/>
      <c r="M574" s="19"/>
    </row>
    <row r="575" spans="11:13">
      <c r="K575" s="19"/>
      <c r="M575" s="19"/>
    </row>
    <row r="576" spans="11:13">
      <c r="K576" s="19"/>
      <c r="M576" s="19"/>
    </row>
    <row r="577" spans="11:13">
      <c r="K577" s="19"/>
      <c r="M577" s="19"/>
    </row>
    <row r="578" spans="11:13">
      <c r="K578" s="19"/>
      <c r="M578" s="19"/>
    </row>
    <row r="579" spans="11:13">
      <c r="K579" s="19"/>
      <c r="M579" s="19"/>
    </row>
    <row r="580" spans="11:13">
      <c r="K580" s="19"/>
      <c r="M580" s="19"/>
    </row>
    <row r="581" spans="11:13">
      <c r="K581" s="19"/>
      <c r="M581" s="19"/>
    </row>
    <row r="582" spans="11:13">
      <c r="K582" s="19"/>
      <c r="M582" s="19"/>
    </row>
    <row r="583" spans="11:13">
      <c r="K583" s="19"/>
      <c r="M583" s="19"/>
    </row>
    <row r="584" spans="11:13">
      <c r="K584" s="19"/>
      <c r="M584" s="19"/>
    </row>
    <row r="585" spans="11:13">
      <c r="K585" s="19"/>
      <c r="M585" s="19"/>
    </row>
    <row r="586" spans="11:13">
      <c r="K586" s="19"/>
      <c r="M586" s="19"/>
    </row>
    <row r="587" spans="11:13">
      <c r="K587" s="19"/>
      <c r="M587" s="19"/>
    </row>
    <row r="588" spans="11:13">
      <c r="K588" s="19"/>
      <c r="M588" s="19"/>
    </row>
    <row r="589" spans="11:13">
      <c r="K589" s="19"/>
      <c r="M589" s="19"/>
    </row>
    <row r="590" spans="11:13">
      <c r="K590" s="19"/>
      <c r="M590" s="19"/>
    </row>
    <row r="591" spans="11:13">
      <c r="K591" s="19"/>
      <c r="M591" s="19"/>
    </row>
    <row r="592" spans="11:13">
      <c r="K592" s="19"/>
      <c r="M592" s="19"/>
    </row>
    <row r="593" spans="11:13">
      <c r="K593" s="19"/>
      <c r="M593" s="19"/>
    </row>
    <row r="594" spans="11:13">
      <c r="K594" s="19"/>
      <c r="M594" s="19"/>
    </row>
    <row r="595" spans="11:13">
      <c r="K595" s="19"/>
      <c r="M595" s="19"/>
    </row>
    <row r="596" spans="11:13">
      <c r="K596" s="19"/>
      <c r="M596" s="19"/>
    </row>
    <row r="597" spans="11:13">
      <c r="K597" s="19"/>
      <c r="M597" s="19"/>
    </row>
    <row r="598" spans="11:13">
      <c r="K598" s="19"/>
      <c r="M598" s="19"/>
    </row>
    <row r="599" spans="11:13">
      <c r="K599" s="19"/>
      <c r="M599" s="19"/>
    </row>
    <row r="600" spans="11:13">
      <c r="K600" s="19"/>
      <c r="M600" s="19"/>
    </row>
    <row r="601" spans="11:13">
      <c r="K601" s="19"/>
      <c r="M601" s="19"/>
    </row>
    <row r="602" spans="11:13">
      <c r="K602" s="19"/>
      <c r="M602" s="19"/>
    </row>
    <row r="603" spans="11:13">
      <c r="K603" s="19"/>
      <c r="M603" s="19"/>
    </row>
    <row r="604" spans="11:13">
      <c r="K604" s="19"/>
      <c r="M604" s="19"/>
    </row>
    <row r="605" spans="11:13">
      <c r="K605" s="19"/>
      <c r="M605" s="19"/>
    </row>
    <row r="606" spans="11:13">
      <c r="K606" s="19"/>
      <c r="M606" s="19"/>
    </row>
    <row r="607" spans="11:13">
      <c r="K607" s="19"/>
      <c r="M607" s="19"/>
    </row>
    <row r="608" spans="11:13">
      <c r="K608" s="19"/>
      <c r="M608" s="19"/>
    </row>
    <row r="609" spans="11:13">
      <c r="K609" s="19"/>
      <c r="M609" s="19"/>
    </row>
    <row r="610" spans="11:13">
      <c r="K610" s="19"/>
      <c r="M610" s="19"/>
    </row>
    <row r="611" spans="11:13">
      <c r="K611" s="19"/>
      <c r="M611" s="19"/>
    </row>
    <row r="612" spans="11:13">
      <c r="K612" s="19"/>
      <c r="M612" s="19"/>
    </row>
    <row r="613" spans="11:13">
      <c r="K613" s="19"/>
      <c r="M613" s="19"/>
    </row>
    <row r="614" spans="11:13">
      <c r="K614" s="19"/>
      <c r="M614" s="19"/>
    </row>
    <row r="615" spans="11:13">
      <c r="K615" s="19"/>
      <c r="M615" s="19"/>
    </row>
    <row r="616" spans="11:13">
      <c r="K616" s="19"/>
      <c r="M616" s="19"/>
    </row>
    <row r="617" spans="11:13">
      <c r="K617" s="19"/>
      <c r="M617" s="19"/>
    </row>
    <row r="618" spans="11:13">
      <c r="K618" s="19"/>
      <c r="M618" s="19"/>
    </row>
    <row r="619" spans="11:13">
      <c r="K619" s="19"/>
      <c r="M619" s="19"/>
    </row>
    <row r="620" spans="11:13">
      <c r="K620" s="19"/>
      <c r="M620" s="19"/>
    </row>
    <row r="621" spans="11:13">
      <c r="K621" s="19"/>
      <c r="M621" s="19"/>
    </row>
    <row r="622" spans="11:13">
      <c r="K622" s="19"/>
      <c r="M622" s="19"/>
    </row>
    <row r="623" spans="11:13">
      <c r="K623" s="19"/>
      <c r="M623" s="19"/>
    </row>
    <row r="624" spans="11:13">
      <c r="K624" s="19"/>
      <c r="M624" s="19"/>
    </row>
    <row r="625" spans="11:13">
      <c r="K625" s="19"/>
      <c r="M625" s="19"/>
    </row>
    <row r="626" spans="11:13">
      <c r="K626" s="19"/>
      <c r="M626" s="19"/>
    </row>
    <row r="627" spans="11:13">
      <c r="K627" s="19"/>
      <c r="M627" s="19"/>
    </row>
    <row r="628" spans="11:13">
      <c r="K628" s="19"/>
      <c r="M628" s="19"/>
    </row>
    <row r="629" spans="11:13">
      <c r="K629" s="19"/>
      <c r="M629" s="19"/>
    </row>
    <row r="630" spans="11:13">
      <c r="K630" s="19"/>
      <c r="M630" s="19"/>
    </row>
    <row r="631" spans="11:13">
      <c r="K631" s="19"/>
      <c r="M631" s="19"/>
    </row>
    <row r="632" spans="11:13">
      <c r="K632" s="19"/>
      <c r="M632" s="19"/>
    </row>
    <row r="633" spans="11:13">
      <c r="K633" s="19"/>
      <c r="M633" s="19"/>
    </row>
    <row r="634" spans="11:13">
      <c r="K634" s="19"/>
      <c r="M634" s="19"/>
    </row>
    <row r="635" spans="11:13">
      <c r="K635" s="19"/>
      <c r="M635" s="19"/>
    </row>
    <row r="636" spans="11:13">
      <c r="K636" s="19"/>
      <c r="M636" s="19"/>
    </row>
    <row r="637" spans="11:13">
      <c r="K637" s="19"/>
      <c r="M637" s="19"/>
    </row>
    <row r="638" spans="11:13">
      <c r="K638" s="19"/>
      <c r="M638" s="19"/>
    </row>
    <row r="639" spans="11:13">
      <c r="K639" s="19"/>
      <c r="M639" s="19"/>
    </row>
    <row r="640" spans="11:13">
      <c r="K640" s="19"/>
      <c r="M640" s="19"/>
    </row>
    <row r="641" spans="11:13">
      <c r="K641" s="19"/>
      <c r="M641" s="19"/>
    </row>
    <row r="642" spans="11:13">
      <c r="K642" s="19"/>
      <c r="M642" s="19"/>
    </row>
    <row r="643" spans="11:13">
      <c r="K643" s="19"/>
      <c r="M643" s="19"/>
    </row>
    <row r="644" spans="11:13">
      <c r="K644" s="19"/>
      <c r="M644" s="19"/>
    </row>
    <row r="645" spans="11:13">
      <c r="K645" s="19"/>
      <c r="M645" s="19"/>
    </row>
    <row r="646" spans="11:13">
      <c r="K646" s="19"/>
      <c r="M646" s="19"/>
    </row>
    <row r="647" spans="11:13">
      <c r="K647" s="19"/>
      <c r="M647" s="19"/>
    </row>
    <row r="648" spans="11:13">
      <c r="K648" s="19"/>
      <c r="M648" s="19"/>
    </row>
    <row r="649" spans="11:13">
      <c r="K649" s="19"/>
      <c r="M649" s="19"/>
    </row>
    <row r="650" spans="11:13">
      <c r="K650" s="19"/>
      <c r="M650" s="19"/>
    </row>
    <row r="651" spans="11:13">
      <c r="K651" s="19"/>
      <c r="M651" s="19"/>
    </row>
    <row r="652" spans="11:13">
      <c r="K652" s="19"/>
      <c r="M652" s="19"/>
    </row>
    <row r="653" spans="11:13">
      <c r="K653" s="19"/>
      <c r="M653" s="19"/>
    </row>
    <row r="654" spans="11:13">
      <c r="K654" s="19"/>
      <c r="M654" s="19"/>
    </row>
    <row r="655" spans="11:13">
      <c r="K655" s="19"/>
      <c r="M655" s="19"/>
    </row>
    <row r="656" spans="11:13">
      <c r="K656" s="19"/>
      <c r="M656" s="19"/>
    </row>
    <row r="657" spans="11:13">
      <c r="K657" s="19"/>
      <c r="M657" s="19"/>
    </row>
    <row r="658" spans="11:13">
      <c r="K658" s="19"/>
      <c r="M658" s="19"/>
    </row>
    <row r="659" spans="11:13">
      <c r="K659" s="19"/>
      <c r="M659" s="19"/>
    </row>
    <row r="660" spans="11:13">
      <c r="K660" s="19"/>
      <c r="M660" s="19"/>
    </row>
    <row r="661" spans="11:13">
      <c r="K661" s="19"/>
      <c r="M661" s="19"/>
    </row>
    <row r="662" spans="11:13">
      <c r="K662" s="19"/>
      <c r="M662" s="19"/>
    </row>
    <row r="663" spans="11:13">
      <c r="K663" s="19"/>
      <c r="M663" s="19"/>
    </row>
    <row r="664" spans="11:13">
      <c r="K664" s="19"/>
      <c r="M664" s="19"/>
    </row>
    <row r="665" spans="11:13">
      <c r="K665" s="19"/>
      <c r="M665" s="19"/>
    </row>
    <row r="666" spans="11:13">
      <c r="K666" s="19"/>
      <c r="M666" s="19"/>
    </row>
    <row r="667" spans="11:13">
      <c r="K667" s="19"/>
      <c r="M667" s="19"/>
    </row>
    <row r="668" spans="11:13">
      <c r="K668" s="19"/>
      <c r="M668" s="19"/>
    </row>
    <row r="669" spans="11:13">
      <c r="K669" s="19"/>
      <c r="M669" s="19"/>
    </row>
    <row r="670" spans="11:13">
      <c r="K670" s="19"/>
      <c r="M670" s="19"/>
    </row>
    <row r="671" spans="11:13">
      <c r="K671" s="19"/>
      <c r="M671" s="19"/>
    </row>
    <row r="672" spans="11:13">
      <c r="K672" s="19"/>
      <c r="M672" s="19"/>
    </row>
    <row r="673" spans="11:13">
      <c r="K673" s="19"/>
      <c r="M673" s="19"/>
    </row>
    <row r="674" spans="11:13">
      <c r="K674" s="19"/>
      <c r="M674" s="19"/>
    </row>
    <row r="675" spans="11:13">
      <c r="K675" s="19"/>
      <c r="M675" s="19"/>
    </row>
    <row r="676" spans="11:13">
      <c r="K676" s="19"/>
      <c r="M676" s="19"/>
    </row>
    <row r="677" spans="11:13">
      <c r="K677" s="19"/>
      <c r="M677" s="19"/>
    </row>
    <row r="678" spans="11:13">
      <c r="K678" s="19"/>
      <c r="M678" s="19"/>
    </row>
    <row r="679" spans="11:13">
      <c r="K679" s="19"/>
      <c r="M679" s="19"/>
    </row>
    <row r="680" spans="11:13">
      <c r="K680" s="19"/>
      <c r="M680" s="19"/>
    </row>
    <row r="681" spans="11:13">
      <c r="K681" s="19"/>
      <c r="M681" s="19"/>
    </row>
    <row r="682" spans="11:13">
      <c r="K682" s="19"/>
      <c r="M682" s="19"/>
    </row>
    <row r="683" spans="11:13">
      <c r="K683" s="19"/>
      <c r="M683" s="19"/>
    </row>
    <row r="684" spans="11:13">
      <c r="K684" s="19"/>
      <c r="M684" s="19"/>
    </row>
    <row r="685" spans="11:13">
      <c r="K685" s="19"/>
      <c r="M685" s="19"/>
    </row>
    <row r="686" spans="11:13">
      <c r="K686" s="19"/>
      <c r="M686" s="19"/>
    </row>
    <row r="687" spans="11:13">
      <c r="K687" s="19"/>
      <c r="M687" s="19"/>
    </row>
    <row r="688" spans="11:13">
      <c r="K688" s="19"/>
      <c r="M688" s="19"/>
    </row>
    <row r="689" spans="11:13">
      <c r="K689" s="19"/>
      <c r="M689" s="19"/>
    </row>
    <row r="690" spans="11:13">
      <c r="K690" s="19"/>
      <c r="M690" s="19"/>
    </row>
    <row r="691" spans="11:13">
      <c r="K691" s="19"/>
      <c r="M691" s="19"/>
    </row>
    <row r="692" spans="11:13">
      <c r="K692" s="19"/>
      <c r="M692" s="19"/>
    </row>
    <row r="693" spans="11:13">
      <c r="K693" s="19"/>
      <c r="M693" s="19"/>
    </row>
    <row r="694" spans="11:13">
      <c r="K694" s="19"/>
      <c r="M694" s="19"/>
    </row>
    <row r="695" spans="11:13">
      <c r="K695" s="19"/>
      <c r="M695" s="19"/>
    </row>
    <row r="696" spans="11:13">
      <c r="K696" s="19"/>
      <c r="M696" s="19"/>
    </row>
    <row r="697" spans="11:13">
      <c r="K697" s="19"/>
      <c r="M697" s="19"/>
    </row>
    <row r="698" spans="11:13">
      <c r="K698" s="19"/>
      <c r="M698" s="19"/>
    </row>
    <row r="699" spans="11:13">
      <c r="K699" s="19"/>
      <c r="M699" s="19"/>
    </row>
    <row r="700" spans="11:13">
      <c r="K700" s="19"/>
      <c r="M700" s="19"/>
    </row>
    <row r="701" spans="11:13">
      <c r="K701" s="19"/>
      <c r="M701" s="19"/>
    </row>
    <row r="702" spans="11:13">
      <c r="K702" s="19"/>
      <c r="M702" s="19"/>
    </row>
    <row r="703" spans="11:13">
      <c r="K703" s="19"/>
      <c r="M703" s="19"/>
    </row>
    <row r="704" spans="11:13">
      <c r="K704" s="19"/>
      <c r="M704" s="19"/>
    </row>
    <row r="705" spans="11:13">
      <c r="K705" s="19"/>
      <c r="M705" s="19"/>
    </row>
    <row r="706" spans="11:13">
      <c r="K706" s="19"/>
      <c r="M706" s="19"/>
    </row>
    <row r="707" spans="11:13">
      <c r="K707" s="19"/>
      <c r="M707" s="19"/>
    </row>
    <row r="708" spans="11:13">
      <c r="K708" s="19"/>
      <c r="M708" s="19"/>
    </row>
    <row r="709" spans="11:13">
      <c r="K709" s="19"/>
      <c r="M709" s="19"/>
    </row>
    <row r="710" spans="11:13">
      <c r="K710" s="19"/>
      <c r="M710" s="19"/>
    </row>
    <row r="711" spans="11:13">
      <c r="K711" s="19"/>
      <c r="M711" s="19"/>
    </row>
    <row r="712" spans="11:13">
      <c r="K712" s="19"/>
      <c r="M712" s="19"/>
    </row>
    <row r="713" spans="11:13">
      <c r="K713" s="19"/>
      <c r="M713" s="19"/>
    </row>
    <row r="714" spans="11:13">
      <c r="K714" s="19"/>
      <c r="M714" s="19"/>
    </row>
    <row r="715" spans="11:13">
      <c r="K715" s="19"/>
      <c r="M715" s="19"/>
    </row>
    <row r="716" spans="11:13">
      <c r="K716" s="19"/>
      <c r="M716" s="19"/>
    </row>
    <row r="717" spans="11:13">
      <c r="K717" s="19"/>
      <c r="M717" s="19"/>
    </row>
    <row r="718" spans="11:13">
      <c r="K718" s="19"/>
      <c r="M718" s="19"/>
    </row>
    <row r="719" spans="11:13">
      <c r="K719" s="19"/>
      <c r="M719" s="19"/>
    </row>
    <row r="720" spans="11:13">
      <c r="K720" s="19"/>
      <c r="M720" s="19"/>
    </row>
    <row r="721" spans="11:13">
      <c r="K721" s="19"/>
      <c r="M721" s="19"/>
    </row>
    <row r="722" spans="11:13">
      <c r="K722" s="19"/>
      <c r="M722" s="19"/>
    </row>
    <row r="723" spans="11:13">
      <c r="K723" s="19"/>
      <c r="M723" s="19"/>
    </row>
    <row r="724" spans="11:13">
      <c r="K724" s="19"/>
      <c r="M724" s="19"/>
    </row>
    <row r="725" spans="11:13">
      <c r="K725" s="19"/>
      <c r="M725" s="19"/>
    </row>
    <row r="726" spans="11:13">
      <c r="K726" s="19"/>
      <c r="M726" s="19"/>
    </row>
    <row r="727" spans="11:13">
      <c r="K727" s="19"/>
      <c r="M727" s="19"/>
    </row>
    <row r="728" spans="11:13">
      <c r="K728" s="19"/>
      <c r="M728" s="19"/>
    </row>
    <row r="729" spans="11:13">
      <c r="K729" s="19"/>
      <c r="M729" s="19"/>
    </row>
    <row r="730" spans="11:13">
      <c r="K730" s="19"/>
      <c r="M730" s="19"/>
    </row>
    <row r="731" spans="11:13">
      <c r="K731" s="19"/>
      <c r="M731" s="19"/>
    </row>
    <row r="732" spans="11:13">
      <c r="K732" s="19"/>
      <c r="M732" s="19"/>
    </row>
    <row r="733" spans="11:13">
      <c r="K733" s="19"/>
      <c r="M733" s="19"/>
    </row>
    <row r="734" spans="11:13">
      <c r="K734" s="19"/>
      <c r="M734" s="19"/>
    </row>
    <row r="735" spans="11:13">
      <c r="K735" s="19"/>
      <c r="M735" s="19"/>
    </row>
    <row r="736" spans="11:13">
      <c r="K736" s="19"/>
      <c r="M736" s="19"/>
    </row>
    <row r="737" spans="11:13">
      <c r="K737" s="19"/>
      <c r="M737" s="19"/>
    </row>
    <row r="738" spans="11:13">
      <c r="K738" s="19"/>
      <c r="M738" s="19"/>
    </row>
    <row r="739" spans="11:13">
      <c r="K739" s="19"/>
      <c r="M739" s="19"/>
    </row>
    <row r="740" spans="11:13">
      <c r="K740" s="19"/>
      <c r="M740" s="19"/>
    </row>
    <row r="741" spans="11:13">
      <c r="K741" s="19"/>
      <c r="M741" s="19"/>
    </row>
    <row r="742" spans="11:13">
      <c r="K742" s="19"/>
      <c r="M742" s="19"/>
    </row>
    <row r="743" spans="11:13">
      <c r="K743" s="19"/>
      <c r="M743" s="19"/>
    </row>
    <row r="744" spans="11:13">
      <c r="K744" s="19"/>
      <c r="M744" s="19"/>
    </row>
    <row r="745" spans="11:13">
      <c r="K745" s="19"/>
      <c r="M745" s="19"/>
    </row>
    <row r="746" spans="11:13">
      <c r="K746" s="19"/>
      <c r="M746" s="19"/>
    </row>
    <row r="747" spans="11:13">
      <c r="K747" s="19"/>
      <c r="M747" s="19"/>
    </row>
    <row r="748" spans="11:13">
      <c r="K748" s="19"/>
      <c r="M748" s="19"/>
    </row>
    <row r="749" spans="11:13">
      <c r="K749" s="19"/>
      <c r="M749" s="19"/>
    </row>
    <row r="750" spans="11:13">
      <c r="K750" s="19"/>
      <c r="M750" s="19"/>
    </row>
    <row r="751" spans="11:13">
      <c r="K751" s="19"/>
      <c r="M751" s="19"/>
    </row>
    <row r="752" spans="11:13">
      <c r="K752" s="19"/>
      <c r="M752" s="19"/>
    </row>
    <row r="753" spans="11:13">
      <c r="K753" s="19"/>
      <c r="M753" s="19"/>
    </row>
    <row r="754" spans="11:13">
      <c r="K754" s="19"/>
      <c r="M754" s="19"/>
    </row>
    <row r="755" spans="11:13">
      <c r="K755" s="19"/>
      <c r="M755" s="19"/>
    </row>
    <row r="756" spans="11:13">
      <c r="K756" s="19"/>
      <c r="M756" s="19"/>
    </row>
    <row r="757" spans="11:13">
      <c r="K757" s="19"/>
      <c r="M757" s="19"/>
    </row>
    <row r="758" spans="11:13">
      <c r="K758" s="19"/>
      <c r="M758" s="19"/>
    </row>
    <row r="759" spans="11:13">
      <c r="K759" s="19"/>
      <c r="M759" s="19"/>
    </row>
    <row r="760" spans="11:13">
      <c r="K760" s="19"/>
      <c r="M760" s="19"/>
    </row>
    <row r="761" spans="11:13">
      <c r="K761" s="19"/>
      <c r="M761" s="19"/>
    </row>
    <row r="762" spans="11:13">
      <c r="K762" s="19"/>
      <c r="M762" s="19"/>
    </row>
    <row r="763" spans="11:13">
      <c r="K763" s="19"/>
      <c r="M763" s="19"/>
    </row>
    <row r="764" spans="11:13">
      <c r="K764" s="19"/>
      <c r="M764" s="19"/>
    </row>
    <row r="765" spans="11:13">
      <c r="K765" s="19"/>
      <c r="M765" s="19"/>
    </row>
    <row r="766" spans="11:13">
      <c r="K766" s="19"/>
      <c r="M766" s="19"/>
    </row>
    <row r="767" spans="11:13">
      <c r="K767" s="19"/>
      <c r="M767" s="19"/>
    </row>
    <row r="768" spans="11:13">
      <c r="K768" s="19"/>
      <c r="M768" s="19"/>
    </row>
    <row r="769" spans="11:13">
      <c r="K769" s="19"/>
      <c r="M769" s="19"/>
    </row>
    <row r="770" spans="11:13">
      <c r="K770" s="19"/>
      <c r="M770" s="19"/>
    </row>
    <row r="771" spans="11:13">
      <c r="K771" s="19"/>
      <c r="M771" s="19"/>
    </row>
    <row r="772" spans="11:13">
      <c r="K772" s="19"/>
      <c r="M772" s="19"/>
    </row>
    <row r="773" spans="11:13">
      <c r="K773" s="19"/>
      <c r="M773" s="19"/>
    </row>
    <row r="774" spans="11:13">
      <c r="K774" s="19"/>
      <c r="M774" s="19"/>
    </row>
    <row r="775" spans="11:13">
      <c r="K775" s="19"/>
      <c r="M775" s="19"/>
    </row>
    <row r="776" spans="11:13">
      <c r="K776" s="19"/>
      <c r="M776" s="19"/>
    </row>
    <row r="777" spans="11:13">
      <c r="K777" s="19"/>
      <c r="M777" s="19"/>
    </row>
    <row r="778" spans="11:13">
      <c r="K778" s="19"/>
      <c r="M778" s="19"/>
    </row>
    <row r="779" spans="11:13">
      <c r="K779" s="19"/>
      <c r="M779" s="19"/>
    </row>
    <row r="780" spans="11:13">
      <c r="K780" s="19"/>
      <c r="M780" s="19"/>
    </row>
    <row r="781" spans="11:13">
      <c r="K781" s="19"/>
      <c r="M781" s="19"/>
    </row>
    <row r="782" spans="11:13">
      <c r="K782" s="19"/>
      <c r="M782" s="19"/>
    </row>
    <row r="783" spans="11:13">
      <c r="K783" s="19"/>
      <c r="M783" s="19"/>
    </row>
    <row r="784" spans="11:13">
      <c r="K784" s="19"/>
      <c r="M784" s="19"/>
    </row>
    <row r="785" spans="11:13">
      <c r="K785" s="19"/>
      <c r="M785" s="19"/>
    </row>
    <row r="786" spans="11:13">
      <c r="K786" s="19"/>
      <c r="M786" s="19"/>
    </row>
    <row r="787" spans="11:13">
      <c r="K787" s="19"/>
      <c r="M787" s="19"/>
    </row>
    <row r="788" spans="11:13">
      <c r="K788" s="19"/>
      <c r="M788" s="19"/>
    </row>
    <row r="789" spans="11:13">
      <c r="K789" s="19"/>
      <c r="M789" s="19"/>
    </row>
    <row r="790" spans="11:13">
      <c r="K790" s="19"/>
      <c r="M790" s="19"/>
    </row>
    <row r="791" spans="11:13">
      <c r="K791" s="19"/>
      <c r="M791" s="19"/>
    </row>
    <row r="792" spans="11:13">
      <c r="K792" s="19"/>
      <c r="M792" s="19"/>
    </row>
    <row r="793" spans="11:13">
      <c r="K793" s="19"/>
      <c r="M793" s="19"/>
    </row>
    <row r="794" spans="11:13">
      <c r="K794" s="19"/>
      <c r="M794" s="19"/>
    </row>
    <row r="795" spans="11:13">
      <c r="K795" s="19"/>
      <c r="M795" s="19"/>
    </row>
    <row r="796" spans="11:13">
      <c r="K796" s="19"/>
      <c r="M796" s="19"/>
    </row>
    <row r="797" spans="11:13">
      <c r="K797" s="19"/>
      <c r="M797" s="19"/>
    </row>
    <row r="798" spans="11:13">
      <c r="K798" s="19"/>
      <c r="M798" s="19"/>
    </row>
    <row r="799" spans="11:13">
      <c r="K799" s="19"/>
      <c r="M799" s="19"/>
    </row>
    <row r="800" spans="11:13">
      <c r="K800" s="19"/>
      <c r="M800" s="19"/>
    </row>
    <row r="801" spans="11:13">
      <c r="K801" s="19"/>
      <c r="M801" s="19"/>
    </row>
    <row r="802" spans="11:13">
      <c r="K802" s="19"/>
      <c r="M802" s="19"/>
    </row>
    <row r="803" spans="11:13">
      <c r="K803" s="19"/>
      <c r="M803" s="19"/>
    </row>
    <row r="804" spans="11:13">
      <c r="K804" s="19"/>
      <c r="M804" s="19"/>
    </row>
    <row r="805" spans="11:13">
      <c r="K805" s="19"/>
      <c r="M805" s="19"/>
    </row>
    <row r="806" spans="11:13">
      <c r="K806" s="19"/>
      <c r="M806" s="19"/>
    </row>
    <row r="807" spans="11:13">
      <c r="K807" s="19"/>
      <c r="M807" s="19"/>
    </row>
    <row r="808" spans="11:13">
      <c r="K808" s="19"/>
      <c r="M808" s="19"/>
    </row>
    <row r="809" spans="11:13">
      <c r="K809" s="19"/>
      <c r="M809" s="19"/>
    </row>
    <row r="810" spans="11:13">
      <c r="K810" s="19"/>
      <c r="M810" s="19"/>
    </row>
    <row r="811" spans="11:13">
      <c r="K811" s="19"/>
      <c r="M811" s="19"/>
    </row>
    <row r="812" spans="11:13">
      <c r="K812" s="19"/>
      <c r="M812" s="19"/>
    </row>
    <row r="813" spans="11:13">
      <c r="K813" s="19"/>
      <c r="M813" s="19"/>
    </row>
    <row r="814" spans="11:13">
      <c r="K814" s="19"/>
      <c r="M814" s="19"/>
    </row>
    <row r="815" spans="11:13">
      <c r="K815" s="19"/>
      <c r="M815" s="19"/>
    </row>
    <row r="816" spans="11:13">
      <c r="K816" s="19"/>
      <c r="M816" s="19"/>
    </row>
    <row r="817" spans="11:13">
      <c r="K817" s="19"/>
      <c r="M817" s="19"/>
    </row>
    <row r="818" spans="11:13">
      <c r="K818" s="19"/>
      <c r="M818" s="19"/>
    </row>
    <row r="819" spans="11:13">
      <c r="K819" s="19"/>
      <c r="M819" s="19"/>
    </row>
    <row r="820" spans="11:13">
      <c r="K820" s="19"/>
      <c r="M820" s="19"/>
    </row>
    <row r="821" spans="11:13">
      <c r="K821" s="19"/>
      <c r="M821" s="19"/>
    </row>
    <row r="822" spans="11:13">
      <c r="K822" s="19"/>
      <c r="M822" s="19"/>
    </row>
    <row r="823" spans="11:13">
      <c r="K823" s="19"/>
      <c r="M823" s="19"/>
    </row>
    <row r="824" spans="11:13">
      <c r="K824" s="19"/>
      <c r="M824" s="19"/>
    </row>
    <row r="825" spans="11:13">
      <c r="K825" s="19"/>
      <c r="M825" s="19"/>
    </row>
    <row r="826" spans="11:13">
      <c r="K826" s="19"/>
      <c r="M826" s="19"/>
    </row>
    <row r="827" spans="11:13">
      <c r="K827" s="19"/>
      <c r="M827" s="19"/>
    </row>
    <row r="828" spans="11:13">
      <c r="K828" s="19"/>
      <c r="M828" s="19"/>
    </row>
    <row r="829" spans="11:13">
      <c r="K829" s="19"/>
      <c r="M829" s="19"/>
    </row>
    <row r="830" spans="11:13">
      <c r="K830" s="19"/>
      <c r="M830" s="19"/>
    </row>
    <row r="831" spans="11:13">
      <c r="K831" s="19"/>
      <c r="M831" s="19"/>
    </row>
    <row r="832" spans="11:13">
      <c r="K832" s="19"/>
      <c r="M832" s="19"/>
    </row>
    <row r="833" spans="11:13">
      <c r="K833" s="19"/>
      <c r="M833" s="19"/>
    </row>
    <row r="834" spans="11:13">
      <c r="K834" s="19"/>
      <c r="M834" s="19"/>
    </row>
    <row r="835" spans="11:13">
      <c r="K835" s="19"/>
      <c r="M835" s="19"/>
    </row>
    <row r="836" spans="11:13">
      <c r="K836" s="19"/>
      <c r="M836" s="19"/>
    </row>
    <row r="837" spans="11:13">
      <c r="K837" s="19"/>
      <c r="M837" s="19"/>
    </row>
    <row r="838" spans="11:13">
      <c r="K838" s="19"/>
      <c r="M838" s="19"/>
    </row>
    <row r="839" spans="11:13">
      <c r="K839" s="19"/>
      <c r="M839" s="19"/>
    </row>
    <row r="840" spans="11:13">
      <c r="K840" s="19"/>
      <c r="M840" s="19"/>
    </row>
    <row r="841" spans="11:13">
      <c r="K841" s="19"/>
      <c r="M841" s="19"/>
    </row>
    <row r="842" spans="11:13">
      <c r="K842" s="19"/>
      <c r="M842" s="19"/>
    </row>
    <row r="843" spans="11:13">
      <c r="K843" s="19"/>
      <c r="M843" s="19"/>
    </row>
    <row r="844" spans="11:13">
      <c r="K844" s="19"/>
      <c r="M844" s="19"/>
    </row>
    <row r="845" spans="11:13">
      <c r="K845" s="19"/>
      <c r="M845" s="19"/>
    </row>
    <row r="846" spans="11:13">
      <c r="K846" s="19"/>
      <c r="M846" s="19"/>
    </row>
    <row r="847" spans="11:13">
      <c r="K847" s="19"/>
      <c r="M847" s="19"/>
    </row>
    <row r="848" spans="11:13">
      <c r="K848" s="19"/>
      <c r="M848" s="19"/>
    </row>
    <row r="849" spans="11:13">
      <c r="K849" s="19"/>
      <c r="M849" s="19"/>
    </row>
    <row r="850" spans="11:13">
      <c r="K850" s="19"/>
      <c r="M850" s="19"/>
    </row>
    <row r="851" spans="11:13">
      <c r="K851" s="19"/>
      <c r="M851" s="19"/>
    </row>
    <row r="852" spans="11:13">
      <c r="K852" s="19"/>
      <c r="M852" s="19"/>
    </row>
    <row r="853" spans="11:13">
      <c r="K853" s="19"/>
      <c r="M853" s="19"/>
    </row>
    <row r="854" spans="11:13">
      <c r="K854" s="19"/>
      <c r="M854" s="19"/>
    </row>
    <row r="855" spans="11:13">
      <c r="K855" s="19"/>
      <c r="M855" s="19"/>
    </row>
    <row r="856" spans="11:13">
      <c r="K856" s="19"/>
      <c r="M856" s="19"/>
    </row>
    <row r="857" spans="11:13">
      <c r="K857" s="19"/>
      <c r="M857" s="19"/>
    </row>
    <row r="858" spans="11:13">
      <c r="K858" s="19"/>
      <c r="M858" s="19"/>
    </row>
    <row r="859" spans="11:13">
      <c r="K859" s="19"/>
      <c r="M859" s="19"/>
    </row>
    <row r="860" spans="11:13">
      <c r="K860" s="19"/>
      <c r="M860" s="19"/>
    </row>
    <row r="861" spans="11:13">
      <c r="K861" s="19"/>
      <c r="M861" s="19"/>
    </row>
    <row r="862" spans="11:13">
      <c r="K862" s="19"/>
      <c r="M862" s="19"/>
    </row>
    <row r="863" spans="11:13">
      <c r="K863" s="19"/>
      <c r="M863" s="19"/>
    </row>
    <row r="864" spans="11:13">
      <c r="K864" s="19"/>
      <c r="M864" s="19"/>
    </row>
    <row r="865" spans="11:13">
      <c r="K865" s="19"/>
      <c r="M865" s="19"/>
    </row>
    <row r="866" spans="11:13">
      <c r="K866" s="19"/>
      <c r="M866" s="19"/>
    </row>
    <row r="867" spans="11:13">
      <c r="K867" s="19"/>
      <c r="M867" s="19"/>
    </row>
    <row r="868" spans="11:13">
      <c r="K868" s="19"/>
      <c r="M868" s="19"/>
    </row>
    <row r="869" spans="11:13">
      <c r="K869" s="19"/>
      <c r="M869" s="19"/>
    </row>
    <row r="870" spans="11:13">
      <c r="K870" s="19"/>
      <c r="M870" s="19"/>
    </row>
    <row r="871" spans="11:13">
      <c r="K871" s="19"/>
      <c r="M871" s="19"/>
    </row>
    <row r="872" spans="11:13">
      <c r="K872" s="19"/>
      <c r="M872" s="19"/>
    </row>
    <row r="873" spans="11:13">
      <c r="K873" s="19"/>
      <c r="M873" s="19"/>
    </row>
    <row r="874" spans="11:13">
      <c r="K874" s="19"/>
      <c r="M874" s="19"/>
    </row>
    <row r="875" spans="11:13">
      <c r="K875" s="19"/>
      <c r="M875" s="19"/>
    </row>
    <row r="876" spans="11:13">
      <c r="K876" s="19"/>
      <c r="M876" s="19"/>
    </row>
    <row r="877" spans="11:13">
      <c r="K877" s="19"/>
      <c r="M877" s="19"/>
    </row>
    <row r="878" spans="11:13">
      <c r="K878" s="19"/>
      <c r="M878" s="19"/>
    </row>
    <row r="879" spans="11:13">
      <c r="K879" s="19"/>
      <c r="M879" s="19"/>
    </row>
    <row r="880" spans="11:13">
      <c r="K880" s="19"/>
      <c r="M880" s="19"/>
    </row>
    <row r="881" spans="11:13">
      <c r="K881" s="19"/>
      <c r="M881" s="19"/>
    </row>
    <row r="882" spans="11:13">
      <c r="K882" s="19"/>
      <c r="M882" s="19"/>
    </row>
    <row r="883" spans="11:13">
      <c r="K883" s="19"/>
      <c r="M883" s="19"/>
    </row>
    <row r="884" spans="11:13">
      <c r="K884" s="19"/>
      <c r="M884" s="19"/>
    </row>
    <row r="885" spans="11:13">
      <c r="K885" s="19"/>
      <c r="M885" s="19"/>
    </row>
    <row r="886" spans="11:13">
      <c r="K886" s="19"/>
      <c r="M886" s="19"/>
    </row>
    <row r="887" spans="11:13">
      <c r="K887" s="19"/>
      <c r="M887" s="19"/>
    </row>
    <row r="888" spans="11:13">
      <c r="K888" s="19"/>
      <c r="M888" s="19"/>
    </row>
    <row r="889" spans="11:13">
      <c r="K889" s="19"/>
      <c r="M889" s="19"/>
    </row>
    <row r="890" spans="11:13">
      <c r="K890" s="19"/>
      <c r="M890" s="19"/>
    </row>
    <row r="891" spans="11:13">
      <c r="K891" s="19"/>
      <c r="M891" s="19"/>
    </row>
    <row r="892" spans="11:13">
      <c r="K892" s="19"/>
      <c r="M892" s="19"/>
    </row>
    <row r="893" spans="11:13">
      <c r="K893" s="19"/>
      <c r="M893" s="19"/>
    </row>
    <row r="894" spans="11:13">
      <c r="K894" s="19"/>
      <c r="M894" s="19"/>
    </row>
    <row r="895" spans="11:13">
      <c r="K895" s="19"/>
      <c r="M895" s="19"/>
    </row>
    <row r="896" spans="11:13">
      <c r="K896" s="19"/>
      <c r="M896" s="19"/>
    </row>
    <row r="897" spans="11:13">
      <c r="K897" s="19"/>
      <c r="M897" s="19"/>
    </row>
    <row r="898" spans="11:13">
      <c r="K898" s="19"/>
      <c r="M898" s="19"/>
    </row>
    <row r="899" spans="11:13">
      <c r="K899" s="19"/>
      <c r="M899" s="19"/>
    </row>
    <row r="900" spans="11:13">
      <c r="K900" s="19"/>
      <c r="M900" s="19"/>
    </row>
    <row r="901" spans="11:13">
      <c r="K901" s="19"/>
      <c r="M901" s="19"/>
    </row>
    <row r="902" spans="11:13">
      <c r="K902" s="19"/>
      <c r="M902" s="19"/>
    </row>
    <row r="903" spans="11:13">
      <c r="K903" s="19"/>
      <c r="M903" s="19"/>
    </row>
    <row r="904" spans="11:13">
      <c r="K904" s="19"/>
      <c r="M904" s="19"/>
    </row>
    <row r="905" spans="11:13">
      <c r="K905" s="19"/>
      <c r="M905" s="19"/>
    </row>
    <row r="906" spans="11:13">
      <c r="K906" s="19"/>
      <c r="M906" s="19"/>
    </row>
    <row r="907" spans="11:13">
      <c r="K907" s="19"/>
      <c r="M907" s="19"/>
    </row>
    <row r="908" spans="11:13">
      <c r="K908" s="19"/>
      <c r="M908" s="19"/>
    </row>
    <row r="909" spans="11:13">
      <c r="K909" s="19"/>
      <c r="M909" s="19"/>
    </row>
    <row r="910" spans="11:13">
      <c r="K910" s="19"/>
      <c r="M910" s="19"/>
    </row>
    <row r="911" spans="11:13">
      <c r="K911" s="19"/>
      <c r="M911" s="19"/>
    </row>
    <row r="912" spans="11:13">
      <c r="K912" s="19"/>
      <c r="M912" s="19"/>
    </row>
    <row r="913" spans="11:13">
      <c r="K913" s="19"/>
      <c r="M913" s="19"/>
    </row>
    <row r="914" spans="11:13">
      <c r="K914" s="19"/>
      <c r="M914" s="19"/>
    </row>
    <row r="915" spans="11:13">
      <c r="K915" s="19"/>
      <c r="M915" s="19"/>
    </row>
    <row r="916" spans="11:13">
      <c r="K916" s="19"/>
      <c r="M916" s="19"/>
    </row>
    <row r="917" spans="11:13">
      <c r="K917" s="19"/>
      <c r="M917" s="19"/>
    </row>
    <row r="918" spans="11:13">
      <c r="K918" s="19"/>
      <c r="M918" s="19"/>
    </row>
    <row r="919" spans="11:13">
      <c r="K919" s="19"/>
      <c r="M919" s="19"/>
    </row>
    <row r="920" spans="11:13">
      <c r="K920" s="19"/>
      <c r="M920" s="19"/>
    </row>
    <row r="921" spans="11:13">
      <c r="K921" s="19"/>
      <c r="M921" s="19"/>
    </row>
    <row r="922" spans="11:13">
      <c r="K922" s="19"/>
      <c r="M922" s="19"/>
    </row>
    <row r="923" spans="11:13">
      <c r="K923" s="19"/>
      <c r="M923" s="19"/>
    </row>
    <row r="924" spans="11:13">
      <c r="K924" s="19"/>
      <c r="M924" s="19"/>
    </row>
    <row r="925" spans="11:13">
      <c r="K925" s="19"/>
      <c r="M925" s="19"/>
    </row>
    <row r="926" spans="11:13">
      <c r="K926" s="19"/>
      <c r="M926" s="19"/>
    </row>
    <row r="927" spans="11:13">
      <c r="K927" s="19"/>
      <c r="M927" s="19"/>
    </row>
    <row r="928" spans="11:13">
      <c r="K928" s="19"/>
      <c r="M928" s="19"/>
    </row>
    <row r="929" spans="11:13">
      <c r="K929" s="19"/>
      <c r="M929" s="19"/>
    </row>
    <row r="930" spans="11:13">
      <c r="K930" s="19"/>
      <c r="M930" s="19"/>
    </row>
    <row r="931" spans="11:13">
      <c r="K931" s="19"/>
      <c r="M931" s="19"/>
    </row>
    <row r="932" spans="11:13">
      <c r="K932" s="19"/>
      <c r="M932" s="19"/>
    </row>
    <row r="933" spans="11:13">
      <c r="K933" s="19"/>
      <c r="M933" s="19"/>
    </row>
    <row r="934" spans="11:13">
      <c r="K934" s="19"/>
      <c r="M934" s="19"/>
    </row>
    <row r="935" spans="11:13">
      <c r="K935" s="19"/>
      <c r="M935" s="19"/>
    </row>
    <row r="936" spans="11:13">
      <c r="K936" s="19"/>
      <c r="M936" s="19"/>
    </row>
    <row r="937" spans="11:13">
      <c r="K937" s="19"/>
      <c r="M937" s="19"/>
    </row>
    <row r="938" spans="11:13">
      <c r="K938" s="19"/>
      <c r="M938" s="19"/>
    </row>
    <row r="939" spans="11:13">
      <c r="K939" s="19"/>
      <c r="M939" s="19"/>
    </row>
    <row r="940" spans="11:13">
      <c r="K940" s="19"/>
      <c r="M940" s="19"/>
    </row>
    <row r="941" spans="11:13">
      <c r="K941" s="19"/>
      <c r="M941" s="19"/>
    </row>
    <row r="942" spans="11:13">
      <c r="K942" s="19"/>
      <c r="M942" s="19"/>
    </row>
    <row r="943" spans="11:13">
      <c r="K943" s="19"/>
      <c r="M943" s="19"/>
    </row>
    <row r="944" spans="11:13">
      <c r="K944" s="19"/>
      <c r="M944" s="19"/>
    </row>
    <row r="945" spans="11:13">
      <c r="K945" s="19"/>
      <c r="M945" s="19"/>
    </row>
    <row r="946" spans="11:13">
      <c r="K946" s="19"/>
      <c r="M946" s="19"/>
    </row>
    <row r="947" spans="11:13">
      <c r="K947" s="19"/>
      <c r="M947" s="19"/>
    </row>
    <row r="948" spans="11:13">
      <c r="K948" s="19"/>
      <c r="M948" s="19"/>
    </row>
    <row r="949" spans="11:13">
      <c r="K949" s="19"/>
      <c r="M949" s="19"/>
    </row>
    <row r="950" spans="11:13">
      <c r="K950" s="19"/>
      <c r="M950" s="19"/>
    </row>
    <row r="951" spans="11:13">
      <c r="K951" s="19"/>
      <c r="M951" s="19"/>
    </row>
    <row r="952" spans="11:13">
      <c r="K952" s="19"/>
      <c r="M952" s="19"/>
    </row>
    <row r="953" spans="11:13">
      <c r="K953" s="19"/>
      <c r="M953" s="19"/>
    </row>
    <row r="954" spans="11:13">
      <c r="K954" s="19"/>
      <c r="M954" s="19"/>
    </row>
    <row r="955" spans="11:13">
      <c r="K955" s="19"/>
      <c r="M955" s="19"/>
    </row>
    <row r="956" spans="11:13">
      <c r="K956" s="19"/>
      <c r="M956" s="19"/>
    </row>
    <row r="957" spans="11:13">
      <c r="K957" s="19"/>
      <c r="M957" s="19"/>
    </row>
    <row r="958" spans="11:13">
      <c r="K958" s="19"/>
      <c r="M958" s="19"/>
    </row>
    <row r="959" spans="11:13">
      <c r="K959" s="19"/>
      <c r="M959" s="19"/>
    </row>
    <row r="960" spans="11:13">
      <c r="K960" s="19"/>
      <c r="M960" s="19"/>
    </row>
    <row r="961" spans="11:13">
      <c r="K961" s="19"/>
      <c r="M961" s="19"/>
    </row>
    <row r="962" spans="11:13">
      <c r="K962" s="19"/>
      <c r="M962" s="19"/>
    </row>
    <row r="963" spans="11:13">
      <c r="K963" s="19"/>
      <c r="M963" s="19"/>
    </row>
    <row r="964" spans="11:13">
      <c r="K964" s="19"/>
      <c r="M964" s="19"/>
    </row>
    <row r="965" spans="11:13">
      <c r="K965" s="19"/>
      <c r="M965" s="19"/>
    </row>
    <row r="966" spans="11:13">
      <c r="K966" s="19"/>
      <c r="M966" s="19"/>
    </row>
    <row r="967" spans="11:13">
      <c r="K967" s="19"/>
      <c r="M967" s="19"/>
    </row>
    <row r="968" spans="11:13">
      <c r="K968" s="19"/>
      <c r="M968" s="19"/>
    </row>
    <row r="969" spans="11:13">
      <c r="K969" s="19"/>
      <c r="M969" s="19"/>
    </row>
    <row r="970" spans="11:13">
      <c r="K970" s="19"/>
      <c r="M970" s="19"/>
    </row>
    <row r="971" spans="11:13">
      <c r="K971" s="19"/>
      <c r="M971" s="19"/>
    </row>
    <row r="972" spans="11:13">
      <c r="K972" s="19"/>
      <c r="M972" s="19"/>
    </row>
    <row r="973" spans="11:13">
      <c r="K973" s="19"/>
      <c r="M973" s="19"/>
    </row>
    <row r="974" spans="11:13">
      <c r="K974" s="19"/>
      <c r="M974" s="19"/>
    </row>
    <row r="975" spans="11:13">
      <c r="K975" s="19"/>
      <c r="M975" s="19"/>
    </row>
    <row r="976" spans="11:13">
      <c r="K976" s="19"/>
      <c r="M976" s="19"/>
    </row>
    <row r="977" spans="11:13">
      <c r="K977" s="19"/>
      <c r="M977" s="19"/>
    </row>
    <row r="978" spans="11:13">
      <c r="K978" s="19"/>
      <c r="M978" s="19"/>
    </row>
    <row r="979" spans="11:13">
      <c r="K979" s="19"/>
      <c r="M979" s="19"/>
    </row>
    <row r="980" spans="11:13">
      <c r="K980" s="19"/>
      <c r="M980" s="19"/>
    </row>
    <row r="981" spans="11:13">
      <c r="K981" s="19"/>
      <c r="M981" s="19"/>
    </row>
    <row r="982" spans="11:13">
      <c r="K982" s="19"/>
      <c r="M982" s="19"/>
    </row>
    <row r="983" spans="11:13">
      <c r="K983" s="19"/>
      <c r="M983" s="19"/>
    </row>
    <row r="984" spans="11:13">
      <c r="K984" s="19"/>
      <c r="M984" s="19"/>
    </row>
    <row r="985" spans="11:13">
      <c r="K985" s="19"/>
      <c r="M985" s="19"/>
    </row>
    <row r="986" spans="11:13">
      <c r="K986" s="19"/>
      <c r="M986" s="19"/>
    </row>
    <row r="987" spans="11:13">
      <c r="K987" s="19"/>
      <c r="M987" s="19"/>
    </row>
    <row r="988" spans="11:13">
      <c r="K988" s="19"/>
      <c r="M988" s="19"/>
    </row>
    <row r="989" spans="11:13">
      <c r="K989" s="19"/>
      <c r="M989" s="19"/>
    </row>
    <row r="990" spans="11:13">
      <c r="K990" s="19"/>
      <c r="M990" s="19"/>
    </row>
    <row r="991" spans="11:13">
      <c r="K991" s="19"/>
      <c r="M991" s="19"/>
    </row>
    <row r="992" spans="11:13">
      <c r="K992" s="19"/>
      <c r="M992" s="19"/>
    </row>
    <row r="993" spans="11:13">
      <c r="K993" s="19"/>
      <c r="M993" s="19"/>
    </row>
    <row r="994" spans="11:13">
      <c r="K994" s="19"/>
      <c r="M994" s="19"/>
    </row>
    <row r="995" spans="11:13">
      <c r="K995" s="19"/>
      <c r="M995" s="19"/>
    </row>
    <row r="996" spans="11:13">
      <c r="K996" s="19"/>
      <c r="M996" s="19"/>
    </row>
  </sheetData>
  <mergeCells count="12">
    <mergeCell ref="B3:B13"/>
    <mergeCell ref="C3:C13"/>
    <mergeCell ref="B17:B27"/>
    <mergeCell ref="C17:C27"/>
    <mergeCell ref="B31:B40"/>
    <mergeCell ref="C31:C40"/>
    <mergeCell ref="B44:B53"/>
    <mergeCell ref="B57:B66"/>
    <mergeCell ref="C57:C66"/>
    <mergeCell ref="B70:B78"/>
    <mergeCell ref="C70:C78"/>
    <mergeCell ref="C44:C5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BM78"/>
  <sheetViews>
    <sheetView topLeftCell="A74" workbookViewId="0"/>
  </sheetViews>
  <sheetFormatPr defaultColWidth="12.6640625" defaultRowHeight="15.75" customHeight="1"/>
  <cols>
    <col min="1" max="1" width="10.33203125" customWidth="1"/>
    <col min="2" max="2" width="13.33203125" customWidth="1"/>
    <col min="3" max="3" width="7.33203125" customWidth="1"/>
    <col min="4" max="4" width="15" customWidth="1"/>
    <col min="5" max="5" width="10.33203125" customWidth="1"/>
    <col min="6" max="6" width="27.33203125" customWidth="1"/>
    <col min="7" max="7" width="10.44140625" customWidth="1"/>
    <col min="8" max="8" width="13.77734375" customWidth="1"/>
    <col min="9" max="9" width="13.44140625" customWidth="1"/>
    <col min="10" max="10" width="9.44140625" customWidth="1"/>
    <col min="11" max="11" width="10.44140625" customWidth="1"/>
    <col min="12" max="12" width="13.77734375" customWidth="1"/>
    <col min="13" max="13" width="13.44140625" customWidth="1"/>
    <col min="14" max="14" width="9.44140625" customWidth="1"/>
    <col min="15" max="15" width="10.44140625" customWidth="1"/>
    <col min="16" max="16" width="13.77734375" customWidth="1"/>
    <col min="17" max="17" width="13.44140625" customWidth="1"/>
    <col min="18" max="18" width="9.44140625" customWidth="1"/>
    <col min="19" max="19" width="10.44140625" customWidth="1"/>
    <col min="20" max="20" width="13.77734375" customWidth="1"/>
    <col min="21" max="21" width="13.44140625" customWidth="1"/>
    <col min="22" max="22" width="9.44140625" customWidth="1"/>
    <col min="23" max="23" width="10.44140625" customWidth="1"/>
    <col min="24" max="24" width="13.77734375" customWidth="1"/>
    <col min="25" max="25" width="13.44140625" customWidth="1"/>
    <col min="26" max="26" width="9.44140625" customWidth="1"/>
    <col min="27" max="27" width="10.44140625" customWidth="1"/>
    <col min="28" max="28" width="13.77734375" customWidth="1"/>
    <col min="29" max="29" width="13.44140625" customWidth="1"/>
    <col min="30" max="30" width="9.44140625" customWidth="1"/>
    <col min="31" max="31" width="10.44140625" customWidth="1"/>
    <col min="32" max="32" width="13.77734375" customWidth="1"/>
    <col min="33" max="33" width="13.44140625" customWidth="1"/>
    <col min="34" max="34" width="9.44140625" customWidth="1"/>
    <col min="35" max="35" width="10.44140625" customWidth="1"/>
    <col min="36" max="36" width="13.77734375" customWidth="1"/>
    <col min="37" max="37" width="13.44140625" customWidth="1"/>
    <col min="38" max="38" width="9.44140625" customWidth="1"/>
    <col min="39" max="39" width="10.44140625" customWidth="1"/>
    <col min="40" max="40" width="13.77734375" customWidth="1"/>
    <col min="41" max="41" width="13.44140625" customWidth="1"/>
    <col min="42" max="42" width="9.44140625" customWidth="1"/>
    <col min="43" max="43" width="10.44140625" customWidth="1"/>
    <col min="44" max="44" width="13.77734375" customWidth="1"/>
    <col min="45" max="45" width="13.44140625" customWidth="1"/>
    <col min="46" max="46" width="9.44140625" customWidth="1"/>
    <col min="47" max="47" width="10.44140625" customWidth="1"/>
    <col min="48" max="48" width="13.77734375" customWidth="1"/>
    <col min="49" max="49" width="13.44140625" customWidth="1"/>
    <col min="50" max="50" width="9.44140625" customWidth="1"/>
    <col min="51" max="51" width="10.44140625" customWidth="1"/>
    <col min="52" max="52" width="13.77734375" customWidth="1"/>
    <col min="53" max="53" width="13.44140625" customWidth="1"/>
    <col min="54" max="54" width="9.44140625" customWidth="1"/>
    <col min="55" max="55" width="10.44140625" customWidth="1"/>
    <col min="56" max="56" width="13.77734375" customWidth="1"/>
    <col min="57" max="57" width="13.44140625" customWidth="1"/>
    <col min="58" max="58" width="9.44140625" customWidth="1"/>
    <col min="59" max="59" width="10.44140625" customWidth="1"/>
    <col min="60" max="60" width="13.77734375" customWidth="1"/>
    <col min="61" max="61" width="13.44140625" customWidth="1"/>
    <col min="62" max="62" width="9.44140625" customWidth="1"/>
    <col min="63" max="63" width="10.44140625" customWidth="1"/>
    <col min="64" max="64" width="13.77734375" customWidth="1"/>
    <col min="65" max="65" width="13.44140625" customWidth="1"/>
  </cols>
  <sheetData>
    <row r="1" spans="1:65" ht="15" customHeight="1">
      <c r="A1" s="40"/>
      <c r="B1" s="40"/>
      <c r="C1" s="40"/>
      <c r="D1" s="40"/>
      <c r="E1" s="40"/>
      <c r="F1" s="40"/>
      <c r="G1" s="41"/>
      <c r="H1" s="41"/>
      <c r="I1" s="41"/>
      <c r="J1" s="40"/>
      <c r="K1" s="41"/>
      <c r="L1" s="41"/>
      <c r="M1" s="41"/>
      <c r="N1" s="40"/>
      <c r="O1" s="41"/>
      <c r="P1" s="41"/>
      <c r="Q1" s="41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</row>
    <row r="2" spans="1:65" ht="13.8">
      <c r="A2" s="40"/>
      <c r="B2" s="40"/>
      <c r="C2" s="40"/>
      <c r="D2" s="40"/>
      <c r="E2" s="40"/>
      <c r="F2" s="40"/>
      <c r="G2" s="41"/>
      <c r="H2" s="41"/>
      <c r="I2" s="41"/>
      <c r="J2" s="40"/>
      <c r="K2" s="41"/>
      <c r="L2" s="41"/>
      <c r="M2" s="41"/>
      <c r="N2" s="40"/>
      <c r="O2" s="41"/>
      <c r="P2" s="41"/>
      <c r="Q2" s="41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0"/>
      <c r="BB2" s="40"/>
      <c r="BC2" s="40"/>
      <c r="BD2" s="40"/>
      <c r="BE2" s="40"/>
      <c r="BF2" s="40"/>
      <c r="BG2" s="40"/>
      <c r="BH2" s="40"/>
      <c r="BI2" s="40"/>
      <c r="BJ2" s="40"/>
    </row>
    <row r="3" spans="1:65" ht="13.8">
      <c r="A3" s="40"/>
      <c r="B3" s="40"/>
      <c r="C3" s="40"/>
      <c r="D3" s="40"/>
      <c r="E3" s="40"/>
      <c r="F3" s="73" t="s">
        <v>54</v>
      </c>
      <c r="G3" s="71"/>
      <c r="H3" s="71"/>
      <c r="I3" s="64"/>
      <c r="J3" s="70" t="s">
        <v>55</v>
      </c>
      <c r="K3" s="71"/>
      <c r="L3" s="71"/>
      <c r="M3" s="64"/>
      <c r="N3" s="70" t="s">
        <v>56</v>
      </c>
      <c r="O3" s="71"/>
      <c r="P3" s="71"/>
      <c r="Q3" s="64"/>
      <c r="R3" s="70" t="s">
        <v>57</v>
      </c>
      <c r="S3" s="71"/>
      <c r="T3" s="71"/>
      <c r="U3" s="64"/>
      <c r="V3" s="70" t="s">
        <v>58</v>
      </c>
      <c r="W3" s="71"/>
      <c r="X3" s="71"/>
      <c r="Y3" s="64"/>
      <c r="Z3" s="70" t="s">
        <v>59</v>
      </c>
      <c r="AA3" s="71"/>
      <c r="AB3" s="71"/>
      <c r="AC3" s="64"/>
      <c r="AD3" s="70" t="s">
        <v>60</v>
      </c>
      <c r="AE3" s="71"/>
      <c r="AF3" s="71"/>
      <c r="AG3" s="64"/>
      <c r="AH3" s="70" t="s">
        <v>61</v>
      </c>
      <c r="AI3" s="71"/>
      <c r="AJ3" s="71"/>
      <c r="AK3" s="64"/>
      <c r="AL3" s="70" t="s">
        <v>62</v>
      </c>
      <c r="AM3" s="71"/>
      <c r="AN3" s="71"/>
      <c r="AO3" s="64"/>
      <c r="AP3" s="70" t="s">
        <v>63</v>
      </c>
      <c r="AQ3" s="71"/>
      <c r="AR3" s="71"/>
      <c r="AS3" s="64"/>
      <c r="AT3" s="70" t="s">
        <v>64</v>
      </c>
      <c r="AU3" s="71"/>
      <c r="AV3" s="71"/>
      <c r="AW3" s="64"/>
      <c r="AX3" s="70" t="s">
        <v>65</v>
      </c>
      <c r="AY3" s="71"/>
      <c r="AZ3" s="71"/>
      <c r="BA3" s="64"/>
      <c r="BB3" s="70" t="s">
        <v>66</v>
      </c>
      <c r="BC3" s="71"/>
      <c r="BD3" s="71"/>
      <c r="BE3" s="64"/>
      <c r="BF3" s="70" t="s">
        <v>67</v>
      </c>
      <c r="BG3" s="71"/>
      <c r="BH3" s="71"/>
      <c r="BI3" s="64"/>
      <c r="BJ3" s="70" t="s">
        <v>68</v>
      </c>
      <c r="BK3" s="71"/>
      <c r="BL3" s="71"/>
      <c r="BM3" s="64"/>
    </row>
    <row r="4" spans="1:65" ht="15.6">
      <c r="A4" s="40"/>
      <c r="B4" s="42" t="s">
        <v>0</v>
      </c>
      <c r="C4" s="42" t="s">
        <v>1</v>
      </c>
      <c r="D4" s="42" t="s">
        <v>69</v>
      </c>
      <c r="E4" s="43" t="s">
        <v>70</v>
      </c>
      <c r="F4" s="44" t="s">
        <v>5</v>
      </c>
      <c r="G4" s="45" t="s">
        <v>71</v>
      </c>
      <c r="H4" s="45" t="s">
        <v>72</v>
      </c>
      <c r="I4" s="45" t="s">
        <v>73</v>
      </c>
      <c r="J4" s="44" t="s">
        <v>5</v>
      </c>
      <c r="K4" s="45" t="s">
        <v>71</v>
      </c>
      <c r="L4" s="45" t="s">
        <v>72</v>
      </c>
      <c r="M4" s="45" t="s">
        <v>73</v>
      </c>
      <c r="N4" s="44" t="s">
        <v>5</v>
      </c>
      <c r="O4" s="45" t="s">
        <v>71</v>
      </c>
      <c r="P4" s="45" t="s">
        <v>72</v>
      </c>
      <c r="Q4" s="45" t="s">
        <v>73</v>
      </c>
      <c r="R4" s="44" t="s">
        <v>5</v>
      </c>
      <c r="S4" s="45" t="s">
        <v>71</v>
      </c>
      <c r="T4" s="45" t="s">
        <v>72</v>
      </c>
      <c r="U4" s="45" t="s">
        <v>73</v>
      </c>
      <c r="V4" s="44" t="s">
        <v>5</v>
      </c>
      <c r="W4" s="45" t="s">
        <v>71</v>
      </c>
      <c r="X4" s="45" t="s">
        <v>72</v>
      </c>
      <c r="Y4" s="45" t="s">
        <v>73</v>
      </c>
      <c r="Z4" s="44" t="s">
        <v>5</v>
      </c>
      <c r="AA4" s="45" t="s">
        <v>71</v>
      </c>
      <c r="AB4" s="45" t="s">
        <v>72</v>
      </c>
      <c r="AC4" s="45" t="s">
        <v>73</v>
      </c>
      <c r="AD4" s="44" t="s">
        <v>5</v>
      </c>
      <c r="AE4" s="45" t="s">
        <v>71</v>
      </c>
      <c r="AF4" s="45" t="s">
        <v>72</v>
      </c>
      <c r="AG4" s="45" t="s">
        <v>73</v>
      </c>
      <c r="AH4" s="44" t="s">
        <v>5</v>
      </c>
      <c r="AI4" s="45" t="s">
        <v>71</v>
      </c>
      <c r="AJ4" s="45" t="s">
        <v>72</v>
      </c>
      <c r="AK4" s="45" t="s">
        <v>73</v>
      </c>
      <c r="AL4" s="44" t="s">
        <v>5</v>
      </c>
      <c r="AM4" s="45" t="s">
        <v>71</v>
      </c>
      <c r="AN4" s="45" t="s">
        <v>72</v>
      </c>
      <c r="AO4" s="45" t="s">
        <v>73</v>
      </c>
      <c r="AP4" s="44" t="s">
        <v>5</v>
      </c>
      <c r="AQ4" s="45" t="s">
        <v>71</v>
      </c>
      <c r="AR4" s="45" t="s">
        <v>72</v>
      </c>
      <c r="AS4" s="45" t="s">
        <v>73</v>
      </c>
      <c r="AT4" s="44" t="s">
        <v>5</v>
      </c>
      <c r="AU4" s="45" t="s">
        <v>71</v>
      </c>
      <c r="AV4" s="45" t="s">
        <v>72</v>
      </c>
      <c r="AW4" s="45" t="s">
        <v>73</v>
      </c>
      <c r="AX4" s="44" t="s">
        <v>5</v>
      </c>
      <c r="AY4" s="45" t="s">
        <v>71</v>
      </c>
      <c r="AZ4" s="45" t="s">
        <v>72</v>
      </c>
      <c r="BA4" s="45" t="s">
        <v>73</v>
      </c>
      <c r="BB4" s="44" t="s">
        <v>5</v>
      </c>
      <c r="BC4" s="45" t="s">
        <v>71</v>
      </c>
      <c r="BD4" s="45" t="s">
        <v>72</v>
      </c>
      <c r="BE4" s="45" t="s">
        <v>73</v>
      </c>
      <c r="BF4" s="44" t="s">
        <v>5</v>
      </c>
      <c r="BG4" s="45" t="s">
        <v>71</v>
      </c>
      <c r="BH4" s="45" t="s">
        <v>72</v>
      </c>
      <c r="BI4" s="45" t="s">
        <v>73</v>
      </c>
      <c r="BJ4" s="44" t="s">
        <v>5</v>
      </c>
      <c r="BK4" s="45" t="s">
        <v>71</v>
      </c>
      <c r="BL4" s="45" t="s">
        <v>72</v>
      </c>
      <c r="BM4" s="45" t="s">
        <v>73</v>
      </c>
    </row>
    <row r="5" spans="1:65" ht="13.8">
      <c r="A5" s="46"/>
      <c r="B5" s="72" t="s">
        <v>74</v>
      </c>
      <c r="C5" s="72" t="s">
        <v>37</v>
      </c>
      <c r="D5" s="47" t="s">
        <v>75</v>
      </c>
      <c r="E5" s="48">
        <v>5</v>
      </c>
      <c r="F5" s="49">
        <v>40.520000000000003</v>
      </c>
      <c r="G5" s="49">
        <v>68.478800000000007</v>
      </c>
      <c r="H5" s="49">
        <v>74.151600000000002</v>
      </c>
      <c r="I5" s="49">
        <v>77.393200000000007</v>
      </c>
      <c r="J5" s="50">
        <v>72.91</v>
      </c>
      <c r="K5" s="50">
        <v>123.21789999999999</v>
      </c>
      <c r="L5" s="50">
        <v>133.42529999999999</v>
      </c>
      <c r="M5" s="50">
        <v>139.25809999999998</v>
      </c>
      <c r="N5" s="50">
        <v>79</v>
      </c>
      <c r="O5" s="50">
        <v>133.51</v>
      </c>
      <c r="P5" s="50">
        <v>144.57</v>
      </c>
      <c r="Q5" s="50">
        <v>150.88999999999999</v>
      </c>
      <c r="R5" s="50">
        <v>83.78</v>
      </c>
      <c r="S5" s="51">
        <v>141.5882</v>
      </c>
      <c r="T5" s="51">
        <v>153.31740000000002</v>
      </c>
      <c r="U5" s="51">
        <v>270.43346199999996</v>
      </c>
      <c r="V5" s="50">
        <v>104.73</v>
      </c>
      <c r="W5" s="50">
        <v>176.99369999999999</v>
      </c>
      <c r="X5" s="50">
        <v>191.6559</v>
      </c>
      <c r="Y5" s="50">
        <v>200.0343</v>
      </c>
      <c r="Z5" s="50">
        <v>128.9</v>
      </c>
      <c r="AA5" s="50">
        <v>217.84100000000001</v>
      </c>
      <c r="AB5" s="50">
        <v>235.88700000000003</v>
      </c>
      <c r="AC5" s="50">
        <v>246.19900000000001</v>
      </c>
      <c r="AD5" s="50">
        <v>193.35</v>
      </c>
      <c r="AE5" s="50">
        <v>326.76149999999996</v>
      </c>
      <c r="AF5" s="50">
        <v>353.83050000000003</v>
      </c>
      <c r="AG5" s="50">
        <v>369.29849999999999</v>
      </c>
      <c r="AH5" s="50">
        <v>209.46</v>
      </c>
      <c r="AI5" s="50">
        <v>353.98739999999998</v>
      </c>
      <c r="AJ5" s="50">
        <v>383.31180000000001</v>
      </c>
      <c r="AK5" s="50">
        <v>400.0686</v>
      </c>
      <c r="AL5" s="50">
        <v>222.97</v>
      </c>
      <c r="AM5" s="50">
        <v>376.8193</v>
      </c>
      <c r="AN5" s="50">
        <v>408.0351</v>
      </c>
      <c r="AO5" s="50">
        <v>425.87269999999995</v>
      </c>
      <c r="AP5" s="50">
        <v>250</v>
      </c>
      <c r="AQ5" s="50">
        <v>422.5</v>
      </c>
      <c r="AR5" s="50">
        <v>457.5</v>
      </c>
      <c r="AS5" s="50">
        <v>477.5</v>
      </c>
      <c r="AT5" s="50">
        <v>263.51</v>
      </c>
      <c r="AU5" s="50">
        <v>445.33189999999996</v>
      </c>
      <c r="AV5" s="50">
        <v>482.22329999999999</v>
      </c>
      <c r="AW5" s="50">
        <v>503.30409999999995</v>
      </c>
      <c r="AX5" s="50">
        <v>304.05</v>
      </c>
      <c r="AY5" s="50">
        <v>513.84450000000004</v>
      </c>
      <c r="AZ5" s="50">
        <v>556.41150000000005</v>
      </c>
      <c r="BA5" s="50">
        <v>580.7355</v>
      </c>
      <c r="BB5" s="50">
        <v>385.13</v>
      </c>
      <c r="BC5" s="50">
        <v>650.86969999999997</v>
      </c>
      <c r="BD5" s="50">
        <v>704.78790000000004</v>
      </c>
      <c r="BE5" s="50">
        <v>735.59829999999999</v>
      </c>
      <c r="BF5" s="50">
        <v>398.65</v>
      </c>
      <c r="BG5" s="50">
        <v>673.71849999999995</v>
      </c>
      <c r="BH5" s="50">
        <v>729.52949999999998</v>
      </c>
      <c r="BI5" s="50">
        <v>761.42149999999992</v>
      </c>
      <c r="BJ5" s="50">
        <v>432.43</v>
      </c>
      <c r="BK5" s="52">
        <v>730.80669999999998</v>
      </c>
      <c r="BL5" s="52">
        <v>791.34690000000001</v>
      </c>
      <c r="BM5" s="52">
        <v>825.94129999999996</v>
      </c>
    </row>
    <row r="6" spans="1:65" ht="13.8">
      <c r="A6" s="46"/>
      <c r="B6" s="62"/>
      <c r="C6" s="62"/>
      <c r="D6" s="47" t="s">
        <v>75</v>
      </c>
      <c r="E6" s="48">
        <v>10</v>
      </c>
      <c r="F6" s="51">
        <v>44.31</v>
      </c>
      <c r="G6" s="50">
        <v>74.883899999999997</v>
      </c>
      <c r="H6" s="50">
        <v>81.087300000000013</v>
      </c>
      <c r="I6" s="51">
        <v>84.632099999999994</v>
      </c>
      <c r="J6" s="50">
        <v>90.15</v>
      </c>
      <c r="K6" s="50">
        <v>152.3535</v>
      </c>
      <c r="L6" s="50">
        <v>164.97450000000001</v>
      </c>
      <c r="M6" s="50">
        <v>172.1865</v>
      </c>
      <c r="N6" s="50">
        <v>96.67</v>
      </c>
      <c r="O6" s="50">
        <v>163.3723</v>
      </c>
      <c r="P6" s="50">
        <v>176.90610000000001</v>
      </c>
      <c r="Q6" s="50">
        <v>184.6397</v>
      </c>
      <c r="R6" s="50">
        <v>112.79</v>
      </c>
      <c r="S6" s="51">
        <v>190.61510000000001</v>
      </c>
      <c r="T6" s="51">
        <v>206.40570000000002</v>
      </c>
      <c r="U6" s="51">
        <v>364.07484099999999</v>
      </c>
      <c r="V6" s="50">
        <v>128.9</v>
      </c>
      <c r="W6" s="50">
        <v>217.84100000000001</v>
      </c>
      <c r="X6" s="50">
        <v>235.88700000000003</v>
      </c>
      <c r="Y6" s="50">
        <v>246.19900000000001</v>
      </c>
      <c r="Z6" s="50">
        <v>145.01</v>
      </c>
      <c r="AA6" s="50">
        <v>245.06689999999998</v>
      </c>
      <c r="AB6" s="50">
        <v>265.36829999999998</v>
      </c>
      <c r="AC6" s="50">
        <v>276.96909999999997</v>
      </c>
      <c r="AD6" s="50">
        <v>233.63</v>
      </c>
      <c r="AE6" s="50">
        <v>394.8347</v>
      </c>
      <c r="AF6" s="50">
        <v>427.54290000000003</v>
      </c>
      <c r="AG6" s="50">
        <v>446.23329999999999</v>
      </c>
      <c r="AH6" s="50">
        <v>243.24</v>
      </c>
      <c r="AI6" s="50">
        <v>411.07560000000001</v>
      </c>
      <c r="AJ6" s="50">
        <v>445.12920000000003</v>
      </c>
      <c r="AK6" s="50">
        <v>464.58839999999998</v>
      </c>
      <c r="AL6" s="50">
        <v>250</v>
      </c>
      <c r="AM6" s="50">
        <v>422.5</v>
      </c>
      <c r="AN6" s="50">
        <v>457.5</v>
      </c>
      <c r="AO6" s="50">
        <v>477.5</v>
      </c>
      <c r="AP6" s="50">
        <v>277.02999999999997</v>
      </c>
      <c r="AQ6" s="50">
        <v>468.18069999999994</v>
      </c>
      <c r="AR6" s="50">
        <v>506.96489999999994</v>
      </c>
      <c r="AS6" s="50">
        <v>529.12729999999988</v>
      </c>
      <c r="AT6" s="50">
        <v>290.54000000000002</v>
      </c>
      <c r="AU6" s="50">
        <v>491.01260000000002</v>
      </c>
      <c r="AV6" s="50">
        <v>531.68820000000005</v>
      </c>
      <c r="AW6" s="50">
        <v>554.93140000000005</v>
      </c>
      <c r="AX6" s="50">
        <v>331.08</v>
      </c>
      <c r="AY6" s="50">
        <v>559.52519999999993</v>
      </c>
      <c r="AZ6" s="50">
        <v>605.87639999999999</v>
      </c>
      <c r="BA6" s="50">
        <v>632.36279999999999</v>
      </c>
      <c r="BB6" s="50">
        <v>412.16</v>
      </c>
      <c r="BC6" s="50">
        <v>696.55039999999997</v>
      </c>
      <c r="BD6" s="50">
        <v>754.25280000000009</v>
      </c>
      <c r="BE6" s="50">
        <v>787.22559999999999</v>
      </c>
      <c r="BF6" s="50">
        <v>425.68</v>
      </c>
      <c r="BG6" s="50">
        <v>719.39919999999995</v>
      </c>
      <c r="BH6" s="50">
        <v>778.99440000000004</v>
      </c>
      <c r="BI6" s="50">
        <v>813.04880000000003</v>
      </c>
      <c r="BJ6" s="50">
        <v>493.24</v>
      </c>
      <c r="BK6" s="52">
        <v>833.57560000000001</v>
      </c>
      <c r="BL6" s="52">
        <v>902.62920000000008</v>
      </c>
      <c r="BM6" s="52">
        <v>942.08839999999998</v>
      </c>
    </row>
    <row r="7" spans="1:65" ht="13.8">
      <c r="A7" s="46"/>
      <c r="B7" s="62"/>
      <c r="C7" s="62"/>
      <c r="D7" s="47" t="s">
        <v>75</v>
      </c>
      <c r="E7" s="48">
        <v>15</v>
      </c>
      <c r="F7" s="51">
        <v>60.42</v>
      </c>
      <c r="G7" s="50">
        <v>102.10979999999999</v>
      </c>
      <c r="H7" s="50">
        <v>110.5686</v>
      </c>
      <c r="I7" s="51">
        <v>115.40219999999999</v>
      </c>
      <c r="J7" s="50">
        <v>106.1</v>
      </c>
      <c r="K7" s="50">
        <v>179.309</v>
      </c>
      <c r="L7" s="50">
        <v>194.16300000000001</v>
      </c>
      <c r="M7" s="50">
        <v>202.65099999999998</v>
      </c>
      <c r="N7" s="50">
        <v>132.93</v>
      </c>
      <c r="O7" s="50">
        <v>224.65170000000001</v>
      </c>
      <c r="P7" s="50">
        <v>243.26190000000003</v>
      </c>
      <c r="Q7" s="50">
        <v>253.8963</v>
      </c>
      <c r="R7" s="50">
        <v>157.09</v>
      </c>
      <c r="S7" s="51">
        <v>265.4821</v>
      </c>
      <c r="T7" s="51">
        <v>287.47470000000004</v>
      </c>
      <c r="U7" s="51">
        <v>507.07081099999999</v>
      </c>
      <c r="V7" s="50">
        <v>185.29</v>
      </c>
      <c r="W7" s="50">
        <v>313.14009999999996</v>
      </c>
      <c r="X7" s="50">
        <v>339.08069999999998</v>
      </c>
      <c r="Y7" s="50">
        <v>353.90389999999996</v>
      </c>
      <c r="Z7" s="50">
        <v>193.35</v>
      </c>
      <c r="AA7" s="50">
        <v>326.76149999999996</v>
      </c>
      <c r="AB7" s="50">
        <v>353.83050000000003</v>
      </c>
      <c r="AC7" s="50">
        <v>369.29849999999999</v>
      </c>
      <c r="AD7" s="50">
        <v>265.85000000000002</v>
      </c>
      <c r="AE7" s="50">
        <v>449.28650000000005</v>
      </c>
      <c r="AF7" s="50">
        <v>486.50550000000004</v>
      </c>
      <c r="AG7" s="50">
        <v>507.77350000000001</v>
      </c>
      <c r="AH7" s="50">
        <v>317.57</v>
      </c>
      <c r="AI7" s="50">
        <v>536.69330000000002</v>
      </c>
      <c r="AJ7" s="50">
        <v>581.15309999999999</v>
      </c>
      <c r="AK7" s="50">
        <v>606.55869999999993</v>
      </c>
      <c r="AL7" s="50">
        <v>281.08</v>
      </c>
      <c r="AM7" s="50">
        <v>475.02519999999998</v>
      </c>
      <c r="AN7" s="50">
        <v>514.37639999999999</v>
      </c>
      <c r="AO7" s="50">
        <v>536.86279999999999</v>
      </c>
      <c r="AP7" s="50">
        <v>324.32</v>
      </c>
      <c r="AQ7" s="50">
        <v>548.10079999999994</v>
      </c>
      <c r="AR7" s="50">
        <v>593.50559999999996</v>
      </c>
      <c r="AS7" s="50">
        <v>619.45119999999997</v>
      </c>
      <c r="AT7" s="50">
        <v>337.84</v>
      </c>
      <c r="AU7" s="50">
        <v>570.94959999999992</v>
      </c>
      <c r="AV7" s="50">
        <v>618.24720000000002</v>
      </c>
      <c r="AW7" s="50">
        <v>645.2743999999999</v>
      </c>
      <c r="AX7" s="50">
        <v>398.65</v>
      </c>
      <c r="AY7" s="50">
        <v>673.71849999999995</v>
      </c>
      <c r="AZ7" s="50">
        <v>729.52949999999998</v>
      </c>
      <c r="BA7" s="50">
        <v>761.42149999999992</v>
      </c>
      <c r="BB7" s="50">
        <v>479.73</v>
      </c>
      <c r="BC7" s="50">
        <v>810.74369999999999</v>
      </c>
      <c r="BD7" s="50">
        <v>877.90590000000009</v>
      </c>
      <c r="BE7" s="50">
        <v>916.28430000000003</v>
      </c>
      <c r="BF7" s="50">
        <v>493.24</v>
      </c>
      <c r="BG7" s="50">
        <v>833.57560000000001</v>
      </c>
      <c r="BH7" s="50">
        <v>902.62920000000008</v>
      </c>
      <c r="BI7" s="50">
        <v>942.08839999999998</v>
      </c>
      <c r="BJ7" s="50">
        <v>520.27</v>
      </c>
      <c r="BK7" s="52">
        <v>879.2562999999999</v>
      </c>
      <c r="BL7" s="52">
        <v>952.09410000000003</v>
      </c>
      <c r="BM7" s="52">
        <v>993.71569999999997</v>
      </c>
    </row>
    <row r="8" spans="1:65" ht="13.8">
      <c r="A8" s="46"/>
      <c r="B8" s="62"/>
      <c r="C8" s="62"/>
      <c r="D8" s="47" t="s">
        <v>75</v>
      </c>
      <c r="E8" s="48">
        <v>20</v>
      </c>
      <c r="F8" s="51">
        <v>72.510000000000005</v>
      </c>
      <c r="G8" s="50">
        <v>122.5419</v>
      </c>
      <c r="H8" s="50">
        <v>132.69330000000002</v>
      </c>
      <c r="I8" s="51">
        <v>138.4941</v>
      </c>
      <c r="J8" s="50">
        <v>121.49</v>
      </c>
      <c r="K8" s="50">
        <v>205.31809999999999</v>
      </c>
      <c r="L8" s="50">
        <v>222.32669999999999</v>
      </c>
      <c r="M8" s="50">
        <v>232.04589999999999</v>
      </c>
      <c r="N8" s="50">
        <v>161.12</v>
      </c>
      <c r="O8" s="50">
        <v>272.2928</v>
      </c>
      <c r="P8" s="50">
        <v>294.84960000000001</v>
      </c>
      <c r="Q8" s="50">
        <v>307.73919999999998</v>
      </c>
      <c r="R8" s="50">
        <v>193.35</v>
      </c>
      <c r="S8" s="51">
        <v>326.76149999999996</v>
      </c>
      <c r="T8" s="51">
        <v>353.83050000000003</v>
      </c>
      <c r="U8" s="51">
        <v>624.11446499999988</v>
      </c>
      <c r="V8" s="50">
        <v>225.57</v>
      </c>
      <c r="W8" s="50">
        <v>381.2133</v>
      </c>
      <c r="X8" s="50">
        <v>412.79309999999998</v>
      </c>
      <c r="Y8" s="50">
        <v>430.83869999999996</v>
      </c>
      <c r="Z8" s="50">
        <v>249.74</v>
      </c>
      <c r="AA8" s="50">
        <v>422.06060000000002</v>
      </c>
      <c r="AB8" s="50">
        <v>457.02420000000001</v>
      </c>
      <c r="AC8" s="50">
        <v>477.0034</v>
      </c>
      <c r="AD8" s="50">
        <v>290.02</v>
      </c>
      <c r="AE8" s="50">
        <v>490.13379999999995</v>
      </c>
      <c r="AF8" s="50">
        <v>530.73659999999995</v>
      </c>
      <c r="AG8" s="50">
        <v>553.93819999999994</v>
      </c>
      <c r="AH8" s="50">
        <v>378.38</v>
      </c>
      <c r="AI8" s="50">
        <v>639.46219999999994</v>
      </c>
      <c r="AJ8" s="50">
        <v>692.43540000000007</v>
      </c>
      <c r="AK8" s="50">
        <v>722.70579999999995</v>
      </c>
      <c r="AL8" s="50">
        <v>358.11</v>
      </c>
      <c r="AM8" s="50">
        <v>605.20590000000004</v>
      </c>
      <c r="AN8" s="50">
        <v>655.34130000000005</v>
      </c>
      <c r="AO8" s="50">
        <v>683.99009999999998</v>
      </c>
      <c r="AP8" s="50">
        <v>405.41</v>
      </c>
      <c r="AQ8" s="50">
        <v>685.14290000000005</v>
      </c>
      <c r="AR8" s="50">
        <v>741.90030000000013</v>
      </c>
      <c r="AS8" s="50">
        <v>774.33310000000006</v>
      </c>
      <c r="AT8" s="50">
        <v>418.92</v>
      </c>
      <c r="AU8" s="50">
        <v>707.97479999999996</v>
      </c>
      <c r="AV8" s="50">
        <v>766.62360000000001</v>
      </c>
      <c r="AW8" s="50">
        <v>800.13720000000001</v>
      </c>
      <c r="AX8" s="50">
        <v>466.22</v>
      </c>
      <c r="AY8" s="50">
        <v>787.91179999999997</v>
      </c>
      <c r="AZ8" s="50">
        <v>853.18260000000009</v>
      </c>
      <c r="BA8" s="50">
        <v>890.48019999999997</v>
      </c>
      <c r="BB8" s="50">
        <v>520.27</v>
      </c>
      <c r="BC8" s="50">
        <v>879.2562999999999</v>
      </c>
      <c r="BD8" s="50">
        <v>952.09410000000003</v>
      </c>
      <c r="BE8" s="50">
        <v>993.71569999999997</v>
      </c>
      <c r="BF8" s="50">
        <v>533.78</v>
      </c>
      <c r="BG8" s="50">
        <v>902.08819999999992</v>
      </c>
      <c r="BH8" s="50">
        <v>976.81740000000002</v>
      </c>
      <c r="BI8" s="50">
        <v>1019.5197999999999</v>
      </c>
      <c r="BJ8" s="50">
        <v>554.04999999999995</v>
      </c>
      <c r="BK8" s="52">
        <v>936.34449999999993</v>
      </c>
      <c r="BL8" s="52">
        <v>1013.9114999999999</v>
      </c>
      <c r="BM8" s="52">
        <v>1058.2354999999998</v>
      </c>
    </row>
    <row r="9" spans="1:65" ht="13.8">
      <c r="A9" s="46"/>
      <c r="B9" s="62"/>
      <c r="C9" s="62"/>
      <c r="D9" s="47" t="s">
        <v>75</v>
      </c>
      <c r="E9" s="48">
        <v>25</v>
      </c>
      <c r="F9" s="51">
        <v>95.51</v>
      </c>
      <c r="G9" s="50">
        <v>161.4119</v>
      </c>
      <c r="H9" s="50">
        <v>174.78330000000003</v>
      </c>
      <c r="I9" s="51">
        <v>182.42410000000001</v>
      </c>
      <c r="J9" s="50">
        <v>138.72999999999999</v>
      </c>
      <c r="K9" s="50">
        <v>234.45369999999997</v>
      </c>
      <c r="L9" s="50">
        <v>253.8759</v>
      </c>
      <c r="M9" s="50">
        <v>264.97429999999997</v>
      </c>
      <c r="N9" s="50">
        <v>179.67</v>
      </c>
      <c r="O9" s="50">
        <v>303.64229999999998</v>
      </c>
      <c r="P9" s="50">
        <v>328.79609999999997</v>
      </c>
      <c r="Q9" s="50">
        <v>343.16969999999998</v>
      </c>
      <c r="R9" s="50">
        <v>223.96</v>
      </c>
      <c r="S9" s="51">
        <v>378.49239999999998</v>
      </c>
      <c r="T9" s="51">
        <v>409.84680000000003</v>
      </c>
      <c r="U9" s="51">
        <v>722.92048399999987</v>
      </c>
      <c r="V9" s="50">
        <v>262.63</v>
      </c>
      <c r="W9" s="50">
        <v>443.84469999999999</v>
      </c>
      <c r="X9" s="50">
        <v>480.61290000000002</v>
      </c>
      <c r="Y9" s="50">
        <v>501.62329999999997</v>
      </c>
      <c r="Z9" s="50">
        <v>302.91000000000003</v>
      </c>
      <c r="AA9" s="50">
        <v>511.91790000000003</v>
      </c>
      <c r="AB9" s="50">
        <v>554.32530000000008</v>
      </c>
      <c r="AC9" s="50">
        <v>578.55809999999997</v>
      </c>
      <c r="AD9" s="50">
        <v>346.41</v>
      </c>
      <c r="AE9" s="50">
        <v>585.43290000000002</v>
      </c>
      <c r="AF9" s="50">
        <v>633.9303000000001</v>
      </c>
      <c r="AG9" s="50">
        <v>661.6431</v>
      </c>
      <c r="AH9" s="50">
        <v>410.81</v>
      </c>
      <c r="AI9" s="50">
        <v>694.26890000000003</v>
      </c>
      <c r="AJ9" s="50">
        <v>751.78230000000008</v>
      </c>
      <c r="AK9" s="50">
        <v>784.64710000000002</v>
      </c>
      <c r="AL9" s="50">
        <v>437.84</v>
      </c>
      <c r="AM9" s="50">
        <v>739.94959999999992</v>
      </c>
      <c r="AN9" s="50">
        <v>801.24720000000002</v>
      </c>
      <c r="AO9" s="50">
        <v>836.2743999999999</v>
      </c>
      <c r="AP9" s="50">
        <v>464.86</v>
      </c>
      <c r="AQ9" s="50">
        <v>785.61339999999996</v>
      </c>
      <c r="AR9" s="50">
        <v>850.69380000000001</v>
      </c>
      <c r="AS9" s="50">
        <v>887.88260000000002</v>
      </c>
      <c r="AT9" s="50">
        <v>490.54</v>
      </c>
      <c r="AU9" s="50">
        <v>829.01260000000002</v>
      </c>
      <c r="AV9" s="50">
        <v>897.68820000000005</v>
      </c>
      <c r="AW9" s="50">
        <v>936.93140000000005</v>
      </c>
      <c r="AX9" s="50">
        <v>517.57000000000005</v>
      </c>
      <c r="AY9" s="50">
        <v>874.69330000000002</v>
      </c>
      <c r="AZ9" s="50">
        <v>947.15310000000011</v>
      </c>
      <c r="BA9" s="50">
        <v>988.55870000000004</v>
      </c>
      <c r="BB9" s="50">
        <v>544.59</v>
      </c>
      <c r="BC9" s="50">
        <v>920.35710000000006</v>
      </c>
      <c r="BD9" s="50">
        <v>996.5997000000001</v>
      </c>
      <c r="BE9" s="50">
        <v>1040.1668999999999</v>
      </c>
      <c r="BF9" s="50">
        <v>570.27</v>
      </c>
      <c r="BG9" s="50">
        <v>963.7562999999999</v>
      </c>
      <c r="BH9" s="50">
        <v>1043.5941</v>
      </c>
      <c r="BI9" s="50">
        <v>1089.2157</v>
      </c>
      <c r="BJ9" s="50">
        <v>597.29999999999995</v>
      </c>
      <c r="BK9" s="52">
        <v>1009.4369999999999</v>
      </c>
      <c r="BL9" s="52">
        <v>1093.059</v>
      </c>
      <c r="BM9" s="52">
        <v>1140.8429999999998</v>
      </c>
    </row>
    <row r="10" spans="1:65" ht="13.8">
      <c r="A10" s="46"/>
      <c r="B10" s="62"/>
      <c r="C10" s="62"/>
      <c r="D10" s="47" t="s">
        <v>75</v>
      </c>
      <c r="E10" s="48">
        <v>50</v>
      </c>
      <c r="F10" s="51">
        <v>154.65</v>
      </c>
      <c r="G10" s="50">
        <v>261.35849999999999</v>
      </c>
      <c r="H10" s="50">
        <v>283.0095</v>
      </c>
      <c r="I10" s="51">
        <v>295.38150000000002</v>
      </c>
      <c r="J10" s="50">
        <v>218.32</v>
      </c>
      <c r="K10" s="50">
        <v>368.96079999999995</v>
      </c>
      <c r="L10" s="50">
        <v>399.5256</v>
      </c>
      <c r="M10" s="50">
        <v>416.99119999999999</v>
      </c>
      <c r="N10" s="50">
        <v>284.27999999999997</v>
      </c>
      <c r="O10" s="50">
        <v>480.43319999999994</v>
      </c>
      <c r="P10" s="50">
        <v>520.23239999999998</v>
      </c>
      <c r="Q10" s="50">
        <v>542.97479999999996</v>
      </c>
      <c r="R10" s="50">
        <v>348.02</v>
      </c>
      <c r="S10" s="51">
        <v>588.15379999999993</v>
      </c>
      <c r="T10" s="51">
        <v>636.87659999999994</v>
      </c>
      <c r="U10" s="51">
        <v>1123.3737579999997</v>
      </c>
      <c r="V10" s="50">
        <v>414.08</v>
      </c>
      <c r="W10" s="50">
        <v>699.79519999999991</v>
      </c>
      <c r="X10" s="50">
        <v>757.76639999999998</v>
      </c>
      <c r="Y10" s="50">
        <v>790.89279999999997</v>
      </c>
      <c r="Z10" s="50">
        <v>478.53</v>
      </c>
      <c r="AA10" s="50">
        <v>808.71569999999997</v>
      </c>
      <c r="AB10" s="50">
        <v>875.70989999999995</v>
      </c>
      <c r="AC10" s="50">
        <v>913.99229999999989</v>
      </c>
      <c r="AD10" s="50">
        <v>544.59</v>
      </c>
      <c r="AE10" s="50">
        <v>920.35710000000006</v>
      </c>
      <c r="AF10" s="50">
        <v>996.5997000000001</v>
      </c>
      <c r="AG10" s="50">
        <v>1040.1668999999999</v>
      </c>
      <c r="AH10" s="50">
        <v>582.42999999999995</v>
      </c>
      <c r="AI10" s="50">
        <v>984.30669999999986</v>
      </c>
      <c r="AJ10" s="50">
        <v>1065.8469</v>
      </c>
      <c r="AK10" s="50">
        <v>1112.4413</v>
      </c>
      <c r="AL10" s="50">
        <v>628.38</v>
      </c>
      <c r="AM10" s="50">
        <v>1061.9621999999999</v>
      </c>
      <c r="AN10" s="50">
        <v>1149.9354000000001</v>
      </c>
      <c r="AO10" s="50">
        <v>1200.2058</v>
      </c>
      <c r="AP10" s="50">
        <v>672.97</v>
      </c>
      <c r="AQ10" s="50">
        <v>1137.3193000000001</v>
      </c>
      <c r="AR10" s="50">
        <v>1231.5351000000001</v>
      </c>
      <c r="AS10" s="50">
        <v>1285.3726999999999</v>
      </c>
      <c r="AT10" s="50">
        <v>718.92</v>
      </c>
      <c r="AU10" s="50">
        <v>1214.9748</v>
      </c>
      <c r="AV10" s="50">
        <v>1315.6235999999999</v>
      </c>
      <c r="AW10" s="50">
        <v>1373.1371999999999</v>
      </c>
      <c r="AX10" s="50">
        <v>764.86</v>
      </c>
      <c r="AY10" s="50">
        <v>1292.6134</v>
      </c>
      <c r="AZ10" s="50">
        <v>1399.6938</v>
      </c>
      <c r="BA10" s="50">
        <v>1460.8825999999999</v>
      </c>
      <c r="BB10" s="50">
        <v>809.46</v>
      </c>
      <c r="BC10" s="50">
        <v>1367.9874</v>
      </c>
      <c r="BD10" s="50">
        <v>1481.3118000000002</v>
      </c>
      <c r="BE10" s="50">
        <v>1546.0686000000001</v>
      </c>
      <c r="BF10" s="50">
        <v>855.4</v>
      </c>
      <c r="BG10" s="50">
        <v>1445.626</v>
      </c>
      <c r="BH10" s="50">
        <v>1565.3820000000001</v>
      </c>
      <c r="BI10" s="50">
        <v>1633.8139999999999</v>
      </c>
      <c r="BJ10" s="50">
        <v>901.35</v>
      </c>
      <c r="BK10" s="52">
        <v>1523.2815000000001</v>
      </c>
      <c r="BL10" s="52">
        <v>1649.4705000000001</v>
      </c>
      <c r="BM10" s="52">
        <v>1721.5785000000001</v>
      </c>
    </row>
    <row r="11" spans="1:65" ht="13.8">
      <c r="A11" s="46"/>
      <c r="B11" s="62"/>
      <c r="C11" s="62"/>
      <c r="D11" s="47" t="s">
        <v>75</v>
      </c>
      <c r="E11" s="48">
        <v>75</v>
      </c>
      <c r="F11" s="51">
        <v>266.08</v>
      </c>
      <c r="G11" s="50">
        <v>449.67519999999996</v>
      </c>
      <c r="H11" s="50">
        <v>486.9264</v>
      </c>
      <c r="I11" s="51">
        <v>508.21279999999996</v>
      </c>
      <c r="J11" s="50">
        <v>375.25</v>
      </c>
      <c r="K11" s="50">
        <v>634.17250000000001</v>
      </c>
      <c r="L11" s="50">
        <v>686.70749999999998</v>
      </c>
      <c r="M11" s="50">
        <v>716.72749999999996</v>
      </c>
      <c r="N11" s="50">
        <v>477.6</v>
      </c>
      <c r="O11" s="50">
        <v>807.14400000000001</v>
      </c>
      <c r="P11" s="50">
        <v>874.00800000000004</v>
      </c>
      <c r="Q11" s="50">
        <v>912.21600000000001</v>
      </c>
      <c r="R11" s="50">
        <v>589.71</v>
      </c>
      <c r="S11" s="51">
        <v>996.60990000000004</v>
      </c>
      <c r="T11" s="51">
        <v>1079.1693</v>
      </c>
      <c r="U11" s="51">
        <v>1903.524909</v>
      </c>
      <c r="V11" s="50">
        <v>665.44</v>
      </c>
      <c r="W11" s="50">
        <v>1124.5936000000002</v>
      </c>
      <c r="X11" s="50">
        <v>1217.7552000000001</v>
      </c>
      <c r="Y11" s="50">
        <v>1270.9904000000001</v>
      </c>
      <c r="Z11" s="50">
        <v>744.39</v>
      </c>
      <c r="AA11" s="50">
        <v>1258.0191</v>
      </c>
      <c r="AB11" s="50">
        <v>1362.2337</v>
      </c>
      <c r="AC11" s="50">
        <v>1421.7848999999999</v>
      </c>
      <c r="AD11" s="50">
        <v>821.72</v>
      </c>
      <c r="AE11" s="50">
        <v>1388.7067999999999</v>
      </c>
      <c r="AF11" s="50">
        <v>1503.7476000000001</v>
      </c>
      <c r="AG11" s="50">
        <v>1569.4852000000001</v>
      </c>
      <c r="AH11" s="50">
        <v>752.7</v>
      </c>
      <c r="AI11" s="50">
        <v>1272.0630000000001</v>
      </c>
      <c r="AJ11" s="50">
        <v>1377.441</v>
      </c>
      <c r="AK11" s="50">
        <v>1437.6569999999999</v>
      </c>
      <c r="AL11" s="50">
        <v>817.57</v>
      </c>
      <c r="AM11" s="50">
        <v>1381.6933000000001</v>
      </c>
      <c r="AN11" s="50">
        <v>1496.1531000000002</v>
      </c>
      <c r="AO11" s="50">
        <v>1561.5587</v>
      </c>
      <c r="AP11" s="50">
        <v>882.43</v>
      </c>
      <c r="AQ11" s="50">
        <v>1491.3066999999999</v>
      </c>
      <c r="AR11" s="50">
        <v>1614.8469</v>
      </c>
      <c r="AS11" s="50">
        <v>1685.4412999999997</v>
      </c>
      <c r="AT11" s="50">
        <v>947.3</v>
      </c>
      <c r="AU11" s="50">
        <v>1600.9369999999999</v>
      </c>
      <c r="AV11" s="50">
        <v>1733.559</v>
      </c>
      <c r="AW11" s="50">
        <v>1809.3429999999998</v>
      </c>
      <c r="AX11" s="50">
        <v>1010.81</v>
      </c>
      <c r="AY11" s="50">
        <v>1708.2688999999998</v>
      </c>
      <c r="AZ11" s="50">
        <v>1849.7823000000001</v>
      </c>
      <c r="BA11" s="50">
        <v>1930.6470999999999</v>
      </c>
      <c r="BB11" s="50">
        <v>1075.67</v>
      </c>
      <c r="BC11" s="50">
        <v>1817.8823</v>
      </c>
      <c r="BD11" s="50">
        <v>1968.4761000000003</v>
      </c>
      <c r="BE11" s="50">
        <v>2054.5297</v>
      </c>
      <c r="BF11" s="50">
        <v>1140.54</v>
      </c>
      <c r="BG11" s="50">
        <v>1927.5125999999998</v>
      </c>
      <c r="BH11" s="50">
        <v>2087.1882000000001</v>
      </c>
      <c r="BI11" s="50">
        <v>2178.4313999999999</v>
      </c>
      <c r="BJ11" s="50">
        <v>1205.4000000000001</v>
      </c>
      <c r="BK11" s="52">
        <v>2037.126</v>
      </c>
      <c r="BL11" s="52">
        <v>2205.8820000000001</v>
      </c>
      <c r="BM11" s="52">
        <v>2302.3139999999999</v>
      </c>
    </row>
    <row r="12" spans="1:65" ht="13.8">
      <c r="A12" s="46"/>
      <c r="B12" s="62"/>
      <c r="C12" s="62"/>
      <c r="D12" s="47" t="s">
        <v>75</v>
      </c>
      <c r="E12" s="48">
        <v>100</v>
      </c>
      <c r="F12" s="51">
        <v>270.64</v>
      </c>
      <c r="G12" s="50">
        <v>457.38159999999993</v>
      </c>
      <c r="H12" s="51">
        <v>495.27120000000002</v>
      </c>
      <c r="I12" s="51">
        <v>516.92239999999993</v>
      </c>
      <c r="J12" s="50">
        <v>382.07</v>
      </c>
      <c r="K12" s="50">
        <v>645.69830000000002</v>
      </c>
      <c r="L12" s="50">
        <v>699.18809999999996</v>
      </c>
      <c r="M12" s="50">
        <v>729.75369999999998</v>
      </c>
      <c r="N12" s="50">
        <v>493.5</v>
      </c>
      <c r="O12" s="50">
        <v>834.01499999999999</v>
      </c>
      <c r="P12" s="50">
        <v>903.10500000000002</v>
      </c>
      <c r="Q12" s="50">
        <v>942.58499999999992</v>
      </c>
      <c r="R12" s="50">
        <v>605.82000000000005</v>
      </c>
      <c r="S12" s="51">
        <v>1023.8358000000001</v>
      </c>
      <c r="T12" s="51">
        <v>1108.6506000000002</v>
      </c>
      <c r="U12" s="51">
        <v>1955.526378</v>
      </c>
      <c r="V12" s="50">
        <v>717</v>
      </c>
      <c r="W12" s="50">
        <v>1211.73</v>
      </c>
      <c r="X12" s="50">
        <v>1312.1100000000001</v>
      </c>
      <c r="Y12" s="50">
        <v>1369.47</v>
      </c>
      <c r="Z12" s="50">
        <v>831.39</v>
      </c>
      <c r="AA12" s="50">
        <v>1405.0491</v>
      </c>
      <c r="AB12" s="50">
        <v>1521.4437</v>
      </c>
      <c r="AC12" s="50">
        <v>1587.9549</v>
      </c>
      <c r="AD12" s="50">
        <v>942.57</v>
      </c>
      <c r="AE12" s="50">
        <v>1592.9433000000001</v>
      </c>
      <c r="AF12" s="50">
        <v>1724.9031000000002</v>
      </c>
      <c r="AG12" s="50">
        <v>1800.3087</v>
      </c>
      <c r="AH12" s="50">
        <v>924.32</v>
      </c>
      <c r="AI12" s="50">
        <v>1562.1007999999999</v>
      </c>
      <c r="AJ12" s="50">
        <v>1691.5056000000002</v>
      </c>
      <c r="AK12" s="50">
        <v>1765.4512</v>
      </c>
      <c r="AL12" s="50">
        <v>1006.76</v>
      </c>
      <c r="AM12" s="50">
        <v>1701.4243999999999</v>
      </c>
      <c r="AN12" s="50">
        <v>1842.3708000000001</v>
      </c>
      <c r="AO12" s="50">
        <v>1922.9115999999999</v>
      </c>
      <c r="AP12" s="50">
        <v>1090.54</v>
      </c>
      <c r="AQ12" s="50">
        <v>1843.0125999999998</v>
      </c>
      <c r="AR12" s="50">
        <v>1995.6882000000001</v>
      </c>
      <c r="AS12" s="50">
        <v>2082.9313999999999</v>
      </c>
      <c r="AT12" s="50">
        <v>1174.32</v>
      </c>
      <c r="AU12" s="50">
        <v>1984.6007999999999</v>
      </c>
      <c r="AV12" s="50">
        <v>2149.0056</v>
      </c>
      <c r="AW12" s="50">
        <v>2242.9512</v>
      </c>
      <c r="AX12" s="50">
        <v>1258.1099999999999</v>
      </c>
      <c r="AY12" s="50">
        <v>2126.2058999999999</v>
      </c>
      <c r="AZ12" s="50">
        <v>2302.3413</v>
      </c>
      <c r="BA12" s="50">
        <v>2402.9900999999995</v>
      </c>
      <c r="BB12" s="50">
        <v>1341.89</v>
      </c>
      <c r="BC12" s="50">
        <v>2267.7941000000001</v>
      </c>
      <c r="BD12" s="50">
        <v>2455.6587000000004</v>
      </c>
      <c r="BE12" s="50">
        <v>2563.0099</v>
      </c>
      <c r="BF12" s="50">
        <v>1424.32</v>
      </c>
      <c r="BG12" s="50">
        <v>2407.1007999999997</v>
      </c>
      <c r="BH12" s="50">
        <v>2606.5056</v>
      </c>
      <c r="BI12" s="50">
        <v>2720.4512</v>
      </c>
      <c r="BJ12" s="50">
        <v>1508.11</v>
      </c>
      <c r="BK12" s="52">
        <v>2548.7058999999999</v>
      </c>
      <c r="BL12" s="52">
        <v>2759.8413</v>
      </c>
      <c r="BM12" s="52">
        <v>2880.4900999999995</v>
      </c>
    </row>
    <row r="13" spans="1:65" ht="13.8">
      <c r="A13" s="46"/>
      <c r="B13" s="62"/>
      <c r="C13" s="62"/>
      <c r="D13" s="47" t="s">
        <v>75</v>
      </c>
      <c r="E13" s="48">
        <v>150</v>
      </c>
      <c r="F13" s="51">
        <v>362.53</v>
      </c>
      <c r="G13" s="50">
        <v>612.67569999999989</v>
      </c>
      <c r="H13" s="50">
        <v>663.42989999999998</v>
      </c>
      <c r="I13" s="51">
        <v>692.43229999999994</v>
      </c>
      <c r="J13" s="50">
        <v>522.04</v>
      </c>
      <c r="K13" s="50">
        <v>882.24759999999992</v>
      </c>
      <c r="L13" s="50">
        <v>955.33319999999992</v>
      </c>
      <c r="M13" s="50">
        <v>997.0963999999999</v>
      </c>
      <c r="N13" s="50">
        <v>586.80999999999995</v>
      </c>
      <c r="O13" s="50">
        <v>991.70889999999986</v>
      </c>
      <c r="P13" s="50">
        <v>1073.8623</v>
      </c>
      <c r="Q13" s="50">
        <v>1120.8070999999998</v>
      </c>
      <c r="R13" s="50">
        <v>908.73</v>
      </c>
      <c r="S13" s="51">
        <v>1535.7537</v>
      </c>
      <c r="T13" s="51">
        <v>1662.9759000000001</v>
      </c>
      <c r="U13" s="51">
        <v>2933.2895669999998</v>
      </c>
      <c r="V13" s="50">
        <v>1075.49</v>
      </c>
      <c r="W13" s="50">
        <v>1817.5780999999999</v>
      </c>
      <c r="X13" s="50">
        <v>1968.1467</v>
      </c>
      <c r="Y13" s="50">
        <v>2054.1858999999999</v>
      </c>
      <c r="Z13" s="50">
        <v>1245.48</v>
      </c>
      <c r="AA13" s="50">
        <v>2104.8611999999998</v>
      </c>
      <c r="AB13" s="50">
        <v>2279.2284</v>
      </c>
      <c r="AC13" s="50">
        <v>2378.8667999999998</v>
      </c>
      <c r="AD13" s="50">
        <v>1414.66</v>
      </c>
      <c r="AE13" s="50">
        <v>2390.7754</v>
      </c>
      <c r="AF13" s="50">
        <v>2588.8278</v>
      </c>
      <c r="AG13" s="50">
        <v>2702.0005999999998</v>
      </c>
      <c r="AH13" s="50">
        <v>1368.92</v>
      </c>
      <c r="AI13" s="50">
        <v>2313.4748</v>
      </c>
      <c r="AJ13" s="50">
        <v>2505.1236000000004</v>
      </c>
      <c r="AK13" s="50">
        <v>2614.6372000000001</v>
      </c>
      <c r="AL13" s="50">
        <v>1509.46</v>
      </c>
      <c r="AM13" s="50">
        <v>2550.9874</v>
      </c>
      <c r="AN13" s="50">
        <v>2762.3117999999999</v>
      </c>
      <c r="AO13" s="50">
        <v>2883.0686000000001</v>
      </c>
      <c r="AP13" s="50">
        <v>1566.21</v>
      </c>
      <c r="AQ13" s="50">
        <v>2646.8948999999998</v>
      </c>
      <c r="AR13" s="50">
        <v>2866.1643000000004</v>
      </c>
      <c r="AS13" s="50">
        <v>2991.4611</v>
      </c>
      <c r="AT13" s="50">
        <v>1763.51</v>
      </c>
      <c r="AU13" s="50">
        <v>2980.3318999999997</v>
      </c>
      <c r="AV13" s="50">
        <v>3227.2233000000001</v>
      </c>
      <c r="AW13" s="50">
        <v>3368.3040999999998</v>
      </c>
      <c r="AX13" s="50">
        <v>1864.86</v>
      </c>
      <c r="AY13" s="50">
        <v>3151.6133999999997</v>
      </c>
      <c r="AZ13" s="50">
        <v>3412.6938</v>
      </c>
      <c r="BA13" s="50">
        <v>3561.8825999999995</v>
      </c>
      <c r="BB13" s="50">
        <v>1952.7</v>
      </c>
      <c r="BC13" s="50">
        <v>3300.0630000000001</v>
      </c>
      <c r="BD13" s="50">
        <v>3573.4410000000003</v>
      </c>
      <c r="BE13" s="50">
        <v>3729.6570000000002</v>
      </c>
      <c r="BF13" s="50">
        <v>2027.03</v>
      </c>
      <c r="BG13" s="50">
        <v>3425.6806999999999</v>
      </c>
      <c r="BH13" s="50">
        <v>3709.4648999999999</v>
      </c>
      <c r="BI13" s="50">
        <v>3871.6272999999997</v>
      </c>
      <c r="BJ13" s="50">
        <v>2229.73</v>
      </c>
      <c r="BK13" s="52">
        <v>3768.2437</v>
      </c>
      <c r="BL13" s="52">
        <v>4080.4059000000002</v>
      </c>
      <c r="BM13" s="52">
        <v>4258.7843000000003</v>
      </c>
    </row>
    <row r="14" spans="1:65" ht="13.8">
      <c r="A14" s="46"/>
      <c r="B14" s="62"/>
      <c r="C14" s="62"/>
      <c r="D14" s="47" t="s">
        <v>75</v>
      </c>
      <c r="E14" s="48">
        <v>200</v>
      </c>
      <c r="F14" s="51">
        <v>502.61</v>
      </c>
      <c r="G14" s="50">
        <v>849.41089999999997</v>
      </c>
      <c r="H14" s="50">
        <v>919.77630000000011</v>
      </c>
      <c r="I14" s="51">
        <v>959.98509999999999</v>
      </c>
      <c r="J14" s="50">
        <v>707.3</v>
      </c>
      <c r="K14" s="50">
        <v>1195.337</v>
      </c>
      <c r="L14" s="50">
        <v>1294.3589999999999</v>
      </c>
      <c r="M14" s="50">
        <v>1350.9429999999998</v>
      </c>
      <c r="N14" s="50">
        <v>915.18</v>
      </c>
      <c r="O14" s="50">
        <v>1546.6541999999999</v>
      </c>
      <c r="P14" s="50">
        <v>1674.7793999999999</v>
      </c>
      <c r="Q14" s="50">
        <v>1747.9937999999997</v>
      </c>
      <c r="R14" s="50">
        <v>1119.8</v>
      </c>
      <c r="S14" s="51">
        <v>1892.4619999999998</v>
      </c>
      <c r="T14" s="51">
        <v>2049.2339999999999</v>
      </c>
      <c r="U14" s="51">
        <v>3614.6024199999993</v>
      </c>
      <c r="V14" s="50">
        <v>1182.6400000000001</v>
      </c>
      <c r="W14" s="50">
        <v>1998.6616000000001</v>
      </c>
      <c r="X14" s="50">
        <v>2164.2312000000002</v>
      </c>
      <c r="Y14" s="50">
        <v>2258.8424</v>
      </c>
      <c r="Z14" s="50">
        <v>1533.89</v>
      </c>
      <c r="AA14" s="50">
        <v>2592.2741000000001</v>
      </c>
      <c r="AB14" s="50">
        <v>2807.0187000000001</v>
      </c>
      <c r="AC14" s="50">
        <v>2929.7299000000003</v>
      </c>
      <c r="AD14" s="50">
        <v>1738.51</v>
      </c>
      <c r="AE14" s="50">
        <v>2938.0818999999997</v>
      </c>
      <c r="AF14" s="50">
        <v>3181.4733000000001</v>
      </c>
      <c r="AG14" s="50">
        <v>3320.5540999999998</v>
      </c>
      <c r="AH14" s="50">
        <v>1722.97</v>
      </c>
      <c r="AI14" s="50">
        <v>2911.8193000000001</v>
      </c>
      <c r="AJ14" s="50">
        <v>3153.0351000000001</v>
      </c>
      <c r="AK14" s="50">
        <v>3290.8726999999999</v>
      </c>
      <c r="AL14" s="50">
        <v>1904.05</v>
      </c>
      <c r="AM14" s="50">
        <v>3217.8444999999997</v>
      </c>
      <c r="AN14" s="50">
        <v>3484.4115000000002</v>
      </c>
      <c r="AO14" s="50">
        <v>3636.7354999999998</v>
      </c>
      <c r="AP14" s="50">
        <v>1908.11</v>
      </c>
      <c r="AQ14" s="50">
        <v>3224.7058999999999</v>
      </c>
      <c r="AR14" s="50">
        <v>3491.8413</v>
      </c>
      <c r="AS14" s="50">
        <v>3644.4900999999995</v>
      </c>
      <c r="AT14" s="50">
        <v>2051.35</v>
      </c>
      <c r="AU14" s="50">
        <v>3466.7814999999996</v>
      </c>
      <c r="AV14" s="50">
        <v>3753.9704999999999</v>
      </c>
      <c r="AW14" s="50">
        <v>3918.0784999999996</v>
      </c>
      <c r="AX14" s="50">
        <v>2098.65</v>
      </c>
      <c r="AY14" s="50">
        <v>3546.7184999999999</v>
      </c>
      <c r="AZ14" s="50">
        <v>3840.5295000000001</v>
      </c>
      <c r="BA14" s="50">
        <v>4008.4214999999999</v>
      </c>
      <c r="BB14" s="50">
        <v>2289.19</v>
      </c>
      <c r="BC14" s="50">
        <v>3868.7311</v>
      </c>
      <c r="BD14" s="50">
        <v>4189.2177000000001</v>
      </c>
      <c r="BE14" s="50">
        <v>4372.3528999999999</v>
      </c>
      <c r="BF14" s="50">
        <v>2479.73</v>
      </c>
      <c r="BG14" s="50">
        <v>4190.7437</v>
      </c>
      <c r="BH14" s="50">
        <v>4537.9059000000007</v>
      </c>
      <c r="BI14" s="50">
        <v>4736.2843000000003</v>
      </c>
      <c r="BJ14" s="50">
        <v>2575.67</v>
      </c>
      <c r="BK14" s="52">
        <v>4352.8823000000002</v>
      </c>
      <c r="BL14" s="52">
        <v>4713.4761000000008</v>
      </c>
      <c r="BM14" s="52">
        <v>4919.5297</v>
      </c>
    </row>
    <row r="15" spans="1:65" ht="13.8">
      <c r="A15" s="46"/>
      <c r="B15" s="62"/>
      <c r="C15" s="62"/>
      <c r="D15" s="47" t="s">
        <v>75</v>
      </c>
      <c r="E15" s="48">
        <v>250</v>
      </c>
      <c r="F15" s="51">
        <v>602.67999999999995</v>
      </c>
      <c r="G15" s="50">
        <v>1018.5291999999998</v>
      </c>
      <c r="H15" s="50">
        <v>1102.9043999999999</v>
      </c>
      <c r="I15" s="51">
        <v>1151.1188</v>
      </c>
      <c r="J15" s="50">
        <v>795.98</v>
      </c>
      <c r="K15" s="50">
        <v>1345.2062000000001</v>
      </c>
      <c r="L15" s="50">
        <v>1456.6434000000002</v>
      </c>
      <c r="M15" s="50">
        <v>1520.3217999999999</v>
      </c>
      <c r="N15" s="50">
        <v>977.93</v>
      </c>
      <c r="O15" s="50">
        <v>1652.7016999999998</v>
      </c>
      <c r="P15" s="50">
        <v>1789.6118999999999</v>
      </c>
      <c r="Q15" s="50">
        <v>1867.8462999999999</v>
      </c>
      <c r="R15" s="50">
        <v>1160.08</v>
      </c>
      <c r="S15" s="51">
        <v>1960.5351999999998</v>
      </c>
      <c r="T15" s="51">
        <v>2122.9463999999998</v>
      </c>
      <c r="U15" s="51">
        <v>3744.6222319999993</v>
      </c>
      <c r="V15" s="50">
        <v>1364.71</v>
      </c>
      <c r="W15" s="50">
        <v>2306.3598999999999</v>
      </c>
      <c r="X15" s="50">
        <v>2497.4193</v>
      </c>
      <c r="Y15" s="50">
        <v>2606.5960999999998</v>
      </c>
      <c r="Z15" s="50">
        <v>1616.06</v>
      </c>
      <c r="AA15" s="50">
        <v>2731.1414</v>
      </c>
      <c r="AB15" s="50">
        <v>2957.3897999999999</v>
      </c>
      <c r="AC15" s="50">
        <v>3086.6745999999998</v>
      </c>
      <c r="AD15" s="50">
        <v>1820.68</v>
      </c>
      <c r="AE15" s="50">
        <v>3076.9492</v>
      </c>
      <c r="AF15" s="50">
        <v>3331.8444000000004</v>
      </c>
      <c r="AG15" s="50">
        <v>3477.4987999999998</v>
      </c>
      <c r="AH15" s="50">
        <v>1977.03</v>
      </c>
      <c r="AI15" s="50">
        <v>3341.1806999999999</v>
      </c>
      <c r="AJ15" s="50">
        <v>3617.9648999999999</v>
      </c>
      <c r="AK15" s="50">
        <v>3776.1272999999997</v>
      </c>
      <c r="AL15" s="50">
        <v>2174.3200000000002</v>
      </c>
      <c r="AM15" s="50">
        <v>3674.6008000000002</v>
      </c>
      <c r="AN15" s="50">
        <v>3979.0056000000004</v>
      </c>
      <c r="AO15" s="50">
        <v>4152.9512000000004</v>
      </c>
      <c r="AP15" s="50">
        <v>2044.59</v>
      </c>
      <c r="AQ15" s="50">
        <v>3455.3570999999997</v>
      </c>
      <c r="AR15" s="50">
        <v>3741.5997000000002</v>
      </c>
      <c r="AS15" s="50">
        <v>3905.1668999999997</v>
      </c>
      <c r="AT15" s="50">
        <v>2212.16</v>
      </c>
      <c r="AU15" s="50">
        <v>3738.5503999999996</v>
      </c>
      <c r="AV15" s="50">
        <v>4048.2527999999998</v>
      </c>
      <c r="AW15" s="50">
        <v>4225.2255999999998</v>
      </c>
      <c r="AX15" s="50">
        <v>2379.73</v>
      </c>
      <c r="AY15" s="50">
        <v>4021.7437</v>
      </c>
      <c r="AZ15" s="50">
        <v>4354.9059000000007</v>
      </c>
      <c r="BA15" s="50">
        <v>4545.2843000000003</v>
      </c>
      <c r="BB15" s="50">
        <v>2547.29</v>
      </c>
      <c r="BC15" s="50">
        <v>4304.9200999999994</v>
      </c>
      <c r="BD15" s="50">
        <v>4661.5407000000005</v>
      </c>
      <c r="BE15" s="50">
        <v>4865.3238999999994</v>
      </c>
      <c r="BF15" s="50">
        <v>2714.86</v>
      </c>
      <c r="BG15" s="50">
        <v>4588.1134000000002</v>
      </c>
      <c r="BH15" s="50">
        <v>4968.1938</v>
      </c>
      <c r="BI15" s="50">
        <v>5185.3825999999999</v>
      </c>
      <c r="BJ15" s="50">
        <v>2882.43</v>
      </c>
      <c r="BK15" s="52">
        <v>4871.3066999999992</v>
      </c>
      <c r="BL15" s="52">
        <v>5274.8468999999996</v>
      </c>
      <c r="BM15" s="52">
        <v>5505.4412999999995</v>
      </c>
    </row>
    <row r="16" spans="1:65" ht="13.8">
      <c r="A16" s="46"/>
      <c r="B16" s="62"/>
      <c r="C16" s="62"/>
      <c r="D16" s="47" t="s">
        <v>75</v>
      </c>
      <c r="E16" s="48">
        <v>300</v>
      </c>
      <c r="F16" s="51">
        <v>652.54999999999995</v>
      </c>
      <c r="G16" s="50">
        <v>1102.8094999999998</v>
      </c>
      <c r="H16" s="50">
        <v>1194.1665</v>
      </c>
      <c r="I16" s="51">
        <v>1246.3704999999998</v>
      </c>
      <c r="J16" s="50">
        <v>918.4</v>
      </c>
      <c r="K16" s="50">
        <v>1552.096</v>
      </c>
      <c r="L16" s="50">
        <v>1680.672</v>
      </c>
      <c r="M16" s="50">
        <v>1754.1439999999998</v>
      </c>
      <c r="N16" s="50">
        <v>1169.75</v>
      </c>
      <c r="O16" s="50">
        <v>1976.8774999999998</v>
      </c>
      <c r="P16" s="50">
        <v>2140.6424999999999</v>
      </c>
      <c r="Q16" s="50">
        <v>2234.2224999999999</v>
      </c>
      <c r="R16" s="50">
        <v>1392.1</v>
      </c>
      <c r="S16" s="51">
        <v>2352.6489999999999</v>
      </c>
      <c r="T16" s="51">
        <v>2547.5430000000001</v>
      </c>
      <c r="U16" s="51">
        <v>4493.5595899999998</v>
      </c>
      <c r="V16" s="50">
        <v>1637</v>
      </c>
      <c r="W16" s="50">
        <v>2766.5299999999997</v>
      </c>
      <c r="X16" s="50">
        <v>2995.71</v>
      </c>
      <c r="Y16" s="50">
        <v>3126.67</v>
      </c>
      <c r="Z16" s="50">
        <v>1939.91</v>
      </c>
      <c r="AA16" s="50">
        <v>3278.4479000000001</v>
      </c>
      <c r="AB16" s="50">
        <v>3550.0353000000005</v>
      </c>
      <c r="AC16" s="50">
        <v>3705.2280999999998</v>
      </c>
      <c r="AD16" s="50">
        <v>2184.8200000000002</v>
      </c>
      <c r="AE16" s="50">
        <v>3692.3458000000001</v>
      </c>
      <c r="AF16" s="50">
        <v>3998.2206000000006</v>
      </c>
      <c r="AG16" s="50">
        <v>4173.0061999999998</v>
      </c>
      <c r="AH16" s="50">
        <v>2371.62</v>
      </c>
      <c r="AI16" s="50">
        <v>4008.0377999999996</v>
      </c>
      <c r="AJ16" s="50">
        <v>4340.0645999999997</v>
      </c>
      <c r="AK16" s="50">
        <v>4529.7941999999994</v>
      </c>
      <c r="AL16" s="50">
        <v>2425.67</v>
      </c>
      <c r="AM16" s="50">
        <v>4099.3823000000002</v>
      </c>
      <c r="AN16" s="50">
        <v>4438.9760999999999</v>
      </c>
      <c r="AO16" s="50">
        <v>4633.0297</v>
      </c>
      <c r="AP16" s="50">
        <v>2452.6999999999998</v>
      </c>
      <c r="AQ16" s="50">
        <v>4145.0629999999992</v>
      </c>
      <c r="AR16" s="50">
        <v>4488.4409999999998</v>
      </c>
      <c r="AS16" s="50">
        <v>4684.6569999999992</v>
      </c>
      <c r="AT16" s="50">
        <v>2655.4</v>
      </c>
      <c r="AU16" s="50">
        <v>4487.6260000000002</v>
      </c>
      <c r="AV16" s="50">
        <v>4859.3820000000005</v>
      </c>
      <c r="AW16" s="50">
        <v>5071.8140000000003</v>
      </c>
      <c r="AX16" s="50">
        <v>2837.84</v>
      </c>
      <c r="AY16" s="50">
        <v>4795.9495999999999</v>
      </c>
      <c r="AZ16" s="50">
        <v>5193.2472000000007</v>
      </c>
      <c r="BA16" s="50">
        <v>5420.2744000000002</v>
      </c>
      <c r="BB16" s="50">
        <v>3040.54</v>
      </c>
      <c r="BC16" s="50">
        <v>5138.5126</v>
      </c>
      <c r="BD16" s="50">
        <v>5564.1882000000005</v>
      </c>
      <c r="BE16" s="50">
        <v>5807.4313999999995</v>
      </c>
      <c r="BF16" s="50">
        <v>3256.75</v>
      </c>
      <c r="BG16" s="50">
        <v>5503.9075000000003</v>
      </c>
      <c r="BH16" s="50">
        <v>5959.8525</v>
      </c>
      <c r="BI16" s="50">
        <v>6220.3924999999999</v>
      </c>
      <c r="BJ16" s="50">
        <v>3445.94</v>
      </c>
      <c r="BK16" s="52">
        <v>5823.6386000000002</v>
      </c>
      <c r="BL16" s="52">
        <v>6306.0702000000001</v>
      </c>
      <c r="BM16" s="52">
        <v>6581.7453999999998</v>
      </c>
    </row>
    <row r="17" spans="1:65" ht="13.8">
      <c r="A17" s="46"/>
      <c r="B17" s="62"/>
      <c r="C17" s="62"/>
      <c r="D17" s="47" t="s">
        <v>75</v>
      </c>
      <c r="E17" s="48">
        <v>350</v>
      </c>
      <c r="F17" s="51">
        <v>744.39</v>
      </c>
      <c r="G17" s="50">
        <v>1258.0191</v>
      </c>
      <c r="H17" s="50">
        <v>1362.2337</v>
      </c>
      <c r="I17" s="51">
        <v>1421.7848999999999</v>
      </c>
      <c r="J17" s="50">
        <v>1043.27</v>
      </c>
      <c r="K17" s="50">
        <v>1763.1262999999999</v>
      </c>
      <c r="L17" s="50">
        <v>1909.1840999999999</v>
      </c>
      <c r="M17" s="50">
        <v>1992.6456999999998</v>
      </c>
      <c r="N17" s="50">
        <v>1364.71</v>
      </c>
      <c r="O17" s="50">
        <v>2306.3598999999999</v>
      </c>
      <c r="P17" s="50">
        <v>2497.4193</v>
      </c>
      <c r="Q17" s="50">
        <v>2606.5960999999998</v>
      </c>
      <c r="R17" s="50">
        <v>1624.11</v>
      </c>
      <c r="S17" s="51">
        <v>2744.7458999999999</v>
      </c>
      <c r="T17" s="51">
        <v>2972.1212999999998</v>
      </c>
      <c r="U17" s="51">
        <v>5242.464669</v>
      </c>
      <c r="V17" s="50">
        <v>1889.16</v>
      </c>
      <c r="W17" s="50">
        <v>3192.6804000000002</v>
      </c>
      <c r="X17" s="50">
        <v>3457.1628000000001</v>
      </c>
      <c r="Y17" s="50">
        <v>3608.2955999999999</v>
      </c>
      <c r="Z17" s="50">
        <v>2255.7199999999998</v>
      </c>
      <c r="AA17" s="50">
        <v>3812.1667999999995</v>
      </c>
      <c r="AB17" s="50">
        <v>4127.9675999999999</v>
      </c>
      <c r="AC17" s="50">
        <v>4308.4251999999997</v>
      </c>
      <c r="AD17" s="50">
        <v>2510.29</v>
      </c>
      <c r="AE17" s="50">
        <v>4242.3900999999996</v>
      </c>
      <c r="AF17" s="50">
        <v>4593.8307000000004</v>
      </c>
      <c r="AG17" s="50">
        <v>4794.6538999999993</v>
      </c>
      <c r="AH17" s="50">
        <v>2743.24</v>
      </c>
      <c r="AI17" s="50">
        <v>4636.0755999999992</v>
      </c>
      <c r="AJ17" s="50">
        <v>5020.1291999999994</v>
      </c>
      <c r="AK17" s="50">
        <v>5239.5883999999996</v>
      </c>
      <c r="AL17" s="50">
        <v>2500</v>
      </c>
      <c r="AM17" s="50">
        <v>4225</v>
      </c>
      <c r="AN17" s="50">
        <v>4575</v>
      </c>
      <c r="AO17" s="50">
        <v>4775</v>
      </c>
      <c r="AP17" s="50">
        <v>2648.65</v>
      </c>
      <c r="AQ17" s="50">
        <v>4476.2184999999999</v>
      </c>
      <c r="AR17" s="50">
        <v>4847.0295000000006</v>
      </c>
      <c r="AS17" s="50">
        <v>5058.9215000000004</v>
      </c>
      <c r="AT17" s="50">
        <v>3074.32</v>
      </c>
      <c r="AU17" s="50">
        <v>5195.6008000000002</v>
      </c>
      <c r="AV17" s="50">
        <v>5626.0056000000004</v>
      </c>
      <c r="AW17" s="50">
        <v>5871.9512000000004</v>
      </c>
      <c r="AX17" s="50">
        <v>3310.81</v>
      </c>
      <c r="AY17" s="50">
        <v>5595.2689</v>
      </c>
      <c r="AZ17" s="50">
        <v>6058.7822999999999</v>
      </c>
      <c r="BA17" s="50">
        <v>6323.6470999999992</v>
      </c>
      <c r="BB17" s="50">
        <v>3445.94</v>
      </c>
      <c r="BC17" s="50">
        <v>5823.6386000000002</v>
      </c>
      <c r="BD17" s="50">
        <v>6306.0702000000001</v>
      </c>
      <c r="BE17" s="50">
        <v>6581.7453999999998</v>
      </c>
      <c r="BF17" s="50">
        <v>3783.78</v>
      </c>
      <c r="BG17" s="50">
        <v>6394.5882000000001</v>
      </c>
      <c r="BH17" s="50">
        <v>6924.3174000000008</v>
      </c>
      <c r="BI17" s="50">
        <v>7227.0198</v>
      </c>
      <c r="BJ17" s="50">
        <v>4020.27</v>
      </c>
      <c r="BK17" s="52">
        <v>6794.2563</v>
      </c>
      <c r="BL17" s="52">
        <v>7357.0941000000003</v>
      </c>
      <c r="BM17" s="52">
        <v>7678.7156999999997</v>
      </c>
    </row>
    <row r="18" spans="1:65" ht="13.8">
      <c r="A18" s="46"/>
      <c r="B18" s="62"/>
      <c r="C18" s="62"/>
      <c r="D18" s="47" t="s">
        <v>75</v>
      </c>
      <c r="E18" s="48">
        <v>400</v>
      </c>
      <c r="F18" s="51">
        <v>837.84</v>
      </c>
      <c r="G18" s="50">
        <v>1415.9495999999999</v>
      </c>
      <c r="H18" s="50">
        <v>1533.2472</v>
      </c>
      <c r="I18" s="51">
        <v>1600.2744</v>
      </c>
      <c r="J18" s="50">
        <v>1160.08</v>
      </c>
      <c r="K18" s="50">
        <v>1960.5351999999998</v>
      </c>
      <c r="L18" s="50">
        <v>2122.9463999999998</v>
      </c>
      <c r="M18" s="50">
        <v>2215.7527999999998</v>
      </c>
      <c r="N18" s="50">
        <v>1559.67</v>
      </c>
      <c r="O18" s="50">
        <v>2635.8423000000003</v>
      </c>
      <c r="P18" s="50">
        <v>2854.1961000000001</v>
      </c>
      <c r="Q18" s="50">
        <v>2978.9697000000001</v>
      </c>
      <c r="R18" s="50">
        <v>1772.35</v>
      </c>
      <c r="S18" s="51">
        <v>2995.2714999999998</v>
      </c>
      <c r="T18" s="51">
        <v>3243.4004999999997</v>
      </c>
      <c r="U18" s="51">
        <v>5720.9685649999992</v>
      </c>
      <c r="V18" s="50">
        <v>2159.04</v>
      </c>
      <c r="W18" s="50">
        <v>3648.7775999999999</v>
      </c>
      <c r="X18" s="50">
        <v>3951.0432000000001</v>
      </c>
      <c r="Y18" s="50">
        <v>4123.7663999999995</v>
      </c>
      <c r="Z18" s="50">
        <v>2577.96</v>
      </c>
      <c r="AA18" s="50">
        <v>4356.7524000000003</v>
      </c>
      <c r="AB18" s="50">
        <v>4717.6668</v>
      </c>
      <c r="AC18" s="50">
        <v>4923.9035999999996</v>
      </c>
      <c r="AD18" s="50">
        <v>2674.63</v>
      </c>
      <c r="AE18" s="50">
        <v>4520.1247000000003</v>
      </c>
      <c r="AF18" s="50">
        <v>4894.5729000000001</v>
      </c>
      <c r="AG18" s="50">
        <v>5108.5433000000003</v>
      </c>
      <c r="AH18" s="50">
        <v>2966.21</v>
      </c>
      <c r="AI18" s="50">
        <v>5012.8949000000002</v>
      </c>
      <c r="AJ18" s="50">
        <v>5428.1643000000004</v>
      </c>
      <c r="AK18" s="50">
        <v>5665.4610999999995</v>
      </c>
      <c r="AL18" s="50">
        <v>2837.84</v>
      </c>
      <c r="AM18" s="50">
        <v>4795.9495999999999</v>
      </c>
      <c r="AN18" s="50">
        <v>5193.2472000000007</v>
      </c>
      <c r="AO18" s="50">
        <v>5420.2744000000002</v>
      </c>
      <c r="AP18" s="50">
        <v>3027.02</v>
      </c>
      <c r="AQ18" s="50">
        <v>5115.6637999999994</v>
      </c>
      <c r="AR18" s="50">
        <v>5539.4466000000002</v>
      </c>
      <c r="AS18" s="50">
        <v>5781.6081999999997</v>
      </c>
      <c r="AT18" s="50">
        <v>3513.51</v>
      </c>
      <c r="AU18" s="50">
        <v>5937.8319000000001</v>
      </c>
      <c r="AV18" s="50">
        <v>6429.7233000000006</v>
      </c>
      <c r="AW18" s="50">
        <v>6710.8041000000003</v>
      </c>
      <c r="AX18" s="50">
        <v>3783.78</v>
      </c>
      <c r="AY18" s="50">
        <v>6394.5882000000001</v>
      </c>
      <c r="AZ18" s="50">
        <v>6924.3174000000008</v>
      </c>
      <c r="BA18" s="50">
        <v>7227.0198</v>
      </c>
      <c r="BB18" s="50">
        <v>3918.92</v>
      </c>
      <c r="BC18" s="50">
        <v>6622.9748</v>
      </c>
      <c r="BD18" s="50">
        <v>7171.6236000000008</v>
      </c>
      <c r="BE18" s="50">
        <v>7485.1372000000001</v>
      </c>
      <c r="BF18" s="50">
        <v>4324.32</v>
      </c>
      <c r="BG18" s="50">
        <v>7308.1007999999993</v>
      </c>
      <c r="BH18" s="50">
        <v>7913.5055999999995</v>
      </c>
      <c r="BI18" s="50">
        <v>8259.4511999999995</v>
      </c>
      <c r="BJ18" s="50">
        <v>4594.59</v>
      </c>
      <c r="BK18" s="52">
        <v>7764.8571000000002</v>
      </c>
      <c r="BL18" s="52">
        <v>8408.0997000000007</v>
      </c>
      <c r="BM18" s="52">
        <v>8775.6669000000002</v>
      </c>
    </row>
    <row r="19" spans="1:65" ht="13.8">
      <c r="A19" s="46"/>
      <c r="B19" s="62"/>
      <c r="C19" s="62"/>
      <c r="D19" s="47" t="s">
        <v>75</v>
      </c>
      <c r="E19" s="48">
        <v>450</v>
      </c>
      <c r="F19" s="51">
        <v>910.34</v>
      </c>
      <c r="G19" s="50">
        <v>1538.4746</v>
      </c>
      <c r="H19" s="50">
        <v>1665.9222000000002</v>
      </c>
      <c r="I19" s="51">
        <v>1738.7493999999999</v>
      </c>
      <c r="J19" s="50">
        <v>1268.8399999999999</v>
      </c>
      <c r="K19" s="50">
        <v>2144.3395999999998</v>
      </c>
      <c r="L19" s="50">
        <v>2321.9771999999998</v>
      </c>
      <c r="M19" s="50">
        <v>2423.4843999999998</v>
      </c>
      <c r="N19" s="50">
        <v>1754.62</v>
      </c>
      <c r="O19" s="50">
        <v>2965.3077999999996</v>
      </c>
      <c r="P19" s="50">
        <v>3210.9546</v>
      </c>
      <c r="Q19" s="50">
        <v>3351.3241999999996</v>
      </c>
      <c r="R19" s="50">
        <v>1993.89</v>
      </c>
      <c r="S19" s="51">
        <v>3369.6741000000002</v>
      </c>
      <c r="T19" s="51">
        <v>3648.8187000000003</v>
      </c>
      <c r="U19" s="51">
        <v>6436.0775309999999</v>
      </c>
      <c r="V19" s="50">
        <v>2413.62</v>
      </c>
      <c r="W19" s="50">
        <v>4079.0177999999996</v>
      </c>
      <c r="X19" s="50">
        <v>4416.9246000000003</v>
      </c>
      <c r="Y19" s="50">
        <v>4610.0141999999996</v>
      </c>
      <c r="Z19" s="50">
        <v>2819.64</v>
      </c>
      <c r="AA19" s="50">
        <v>4765.1915999999992</v>
      </c>
      <c r="AB19" s="50">
        <v>5159.9412000000002</v>
      </c>
      <c r="AC19" s="50">
        <v>5385.5123999999996</v>
      </c>
      <c r="AD19" s="50">
        <v>3009.77</v>
      </c>
      <c r="AE19" s="50">
        <v>5086.5113000000001</v>
      </c>
      <c r="AF19" s="50">
        <v>5507.8791000000001</v>
      </c>
      <c r="AG19" s="50">
        <v>5748.6606999999995</v>
      </c>
      <c r="AH19" s="50">
        <v>3033.78</v>
      </c>
      <c r="AI19" s="50">
        <v>5127.0882000000001</v>
      </c>
      <c r="AJ19" s="50">
        <v>5551.8174000000008</v>
      </c>
      <c r="AK19" s="50">
        <v>5794.5198</v>
      </c>
      <c r="AL19" s="50">
        <v>3114.86</v>
      </c>
      <c r="AM19" s="50">
        <v>5264.1134000000002</v>
      </c>
      <c r="AN19" s="50">
        <v>5700.1938</v>
      </c>
      <c r="AO19" s="50">
        <v>5949.3825999999999</v>
      </c>
      <c r="AP19" s="50">
        <v>3412.16</v>
      </c>
      <c r="AQ19" s="50">
        <v>5766.5503999999992</v>
      </c>
      <c r="AR19" s="50">
        <v>6244.2528000000002</v>
      </c>
      <c r="AS19" s="50">
        <v>6517.2255999999998</v>
      </c>
      <c r="AT19" s="50">
        <v>3871.62</v>
      </c>
      <c r="AU19" s="50">
        <v>6543.0378000000001</v>
      </c>
      <c r="AV19" s="50">
        <v>7085.0645999999997</v>
      </c>
      <c r="AW19" s="50">
        <v>7394.7941999999994</v>
      </c>
      <c r="AX19" s="50">
        <v>4256.75</v>
      </c>
      <c r="AY19" s="50">
        <v>7193.9074999999993</v>
      </c>
      <c r="AZ19" s="50">
        <v>7789.8525</v>
      </c>
      <c r="BA19" s="50">
        <v>8130.3924999999999</v>
      </c>
      <c r="BB19" s="50">
        <v>4391.8900000000003</v>
      </c>
      <c r="BC19" s="50">
        <v>7422.2941000000001</v>
      </c>
      <c r="BD19" s="50">
        <v>8037.1587000000009</v>
      </c>
      <c r="BE19" s="50">
        <v>8388.5099000000009</v>
      </c>
      <c r="BF19" s="50">
        <v>4756.75</v>
      </c>
      <c r="BG19" s="50">
        <v>8038.9074999999993</v>
      </c>
      <c r="BH19" s="50">
        <v>8704.8525000000009</v>
      </c>
      <c r="BI19" s="50">
        <v>9085.3924999999999</v>
      </c>
      <c r="BJ19" s="50">
        <v>5168.91</v>
      </c>
      <c r="BK19" s="52">
        <v>8735.4578999999994</v>
      </c>
      <c r="BL19" s="52">
        <v>9459.1052999999993</v>
      </c>
      <c r="BM19" s="52">
        <v>9872.6180999999997</v>
      </c>
    </row>
    <row r="20" spans="1:65" ht="13.8">
      <c r="A20" s="46"/>
      <c r="B20" s="62"/>
      <c r="C20" s="62"/>
      <c r="D20" s="47" t="s">
        <v>75</v>
      </c>
      <c r="E20" s="48">
        <v>500</v>
      </c>
      <c r="F20" s="51">
        <v>971.89</v>
      </c>
      <c r="G20" s="50">
        <v>1642.4940999999999</v>
      </c>
      <c r="H20" s="51">
        <v>1778.5587</v>
      </c>
      <c r="I20" s="51">
        <v>1856.3099</v>
      </c>
      <c r="J20" s="50">
        <v>1519.22</v>
      </c>
      <c r="K20" s="50">
        <v>2567.4818</v>
      </c>
      <c r="L20" s="50">
        <v>2780.1726000000003</v>
      </c>
      <c r="M20" s="50">
        <v>2901.7102</v>
      </c>
      <c r="N20" s="50">
        <v>1980.84</v>
      </c>
      <c r="O20" s="50">
        <v>3347.6195999999995</v>
      </c>
      <c r="P20" s="50">
        <v>3624.9371999999998</v>
      </c>
      <c r="Q20" s="50">
        <v>3783.4043999999999</v>
      </c>
      <c r="R20" s="50">
        <v>2163.88</v>
      </c>
      <c r="S20" s="51">
        <v>3656.9572000000003</v>
      </c>
      <c r="T20" s="51">
        <v>3959.9004000000004</v>
      </c>
      <c r="U20" s="51">
        <v>6984.7882520000003</v>
      </c>
      <c r="V20" s="50">
        <v>2557.0100000000002</v>
      </c>
      <c r="W20" s="50">
        <v>4321.3469000000005</v>
      </c>
      <c r="X20" s="50">
        <v>4679.3283000000001</v>
      </c>
      <c r="Y20" s="50">
        <v>4883.8891000000003</v>
      </c>
      <c r="Z20" s="50">
        <v>2950.15</v>
      </c>
      <c r="AA20" s="50">
        <v>4985.7534999999998</v>
      </c>
      <c r="AB20" s="50">
        <v>5398.7745000000004</v>
      </c>
      <c r="AC20" s="50">
        <v>5634.7865000000002</v>
      </c>
      <c r="AD20" s="50">
        <v>3341.68</v>
      </c>
      <c r="AE20" s="50">
        <v>5647.4391999999998</v>
      </c>
      <c r="AF20" s="50">
        <v>6115.2744000000002</v>
      </c>
      <c r="AG20" s="50">
        <v>6382.6087999999991</v>
      </c>
      <c r="AH20" s="50">
        <v>3131.08</v>
      </c>
      <c r="AI20" s="50">
        <v>5291.5252</v>
      </c>
      <c r="AJ20" s="50">
        <v>5729.8764000000001</v>
      </c>
      <c r="AK20" s="50">
        <v>5980.3627999999999</v>
      </c>
      <c r="AL20" s="50">
        <v>3460.81</v>
      </c>
      <c r="AM20" s="50">
        <v>5848.7689</v>
      </c>
      <c r="AN20" s="50">
        <v>6333.2822999999999</v>
      </c>
      <c r="AO20" s="50">
        <v>6610.1470999999992</v>
      </c>
      <c r="AP20" s="50">
        <v>3789.19</v>
      </c>
      <c r="AQ20" s="50">
        <v>6403.7311</v>
      </c>
      <c r="AR20" s="50">
        <v>6934.2177000000001</v>
      </c>
      <c r="AS20" s="50">
        <v>7237.3528999999999</v>
      </c>
      <c r="AT20" s="50">
        <v>4117.5600000000004</v>
      </c>
      <c r="AU20" s="50">
        <v>6958.6764000000003</v>
      </c>
      <c r="AV20" s="50">
        <v>7535.1348000000007</v>
      </c>
      <c r="AW20" s="50">
        <v>7864.5396000000001</v>
      </c>
      <c r="AX20" s="50">
        <v>4447.29</v>
      </c>
      <c r="AY20" s="50">
        <v>7515.9200999999994</v>
      </c>
      <c r="AZ20" s="50">
        <v>8138.5407000000005</v>
      </c>
      <c r="BA20" s="50">
        <v>8494.3238999999994</v>
      </c>
      <c r="BB20" s="50">
        <v>4775.67</v>
      </c>
      <c r="BC20" s="50">
        <v>8070.8823000000002</v>
      </c>
      <c r="BD20" s="50">
        <v>8739.4760999999999</v>
      </c>
      <c r="BE20" s="50">
        <v>9121.5296999999991</v>
      </c>
      <c r="BF20" s="50">
        <v>5104.05</v>
      </c>
      <c r="BG20" s="50">
        <v>8625.8444999999992</v>
      </c>
      <c r="BH20" s="50">
        <v>9340.4115000000002</v>
      </c>
      <c r="BI20" s="50">
        <v>9748.7355000000007</v>
      </c>
      <c r="BJ20" s="50">
        <v>5433.78</v>
      </c>
      <c r="BK20" s="52">
        <v>9183.0882000000001</v>
      </c>
      <c r="BL20" s="52">
        <v>9943.8173999999999</v>
      </c>
      <c r="BM20" s="52">
        <v>10378.519799999998</v>
      </c>
    </row>
    <row r="21" spans="1:65" ht="13.8">
      <c r="A21" s="46"/>
      <c r="B21" s="62"/>
      <c r="C21" s="62"/>
      <c r="D21" s="47" t="s">
        <v>75</v>
      </c>
      <c r="E21" s="48">
        <v>600</v>
      </c>
      <c r="F21" s="51">
        <v>1160.08</v>
      </c>
      <c r="G21" s="50">
        <v>1960.5351999999998</v>
      </c>
      <c r="H21" s="50">
        <v>2122.9463999999998</v>
      </c>
      <c r="I21" s="51">
        <v>2215.7527999999998</v>
      </c>
      <c r="J21" s="50">
        <v>1562.89</v>
      </c>
      <c r="K21" s="50">
        <v>2641.2841000000003</v>
      </c>
      <c r="L21" s="50">
        <v>2860.0887000000002</v>
      </c>
      <c r="M21" s="50">
        <v>2985.1199000000001</v>
      </c>
      <c r="N21" s="50">
        <v>2005.98</v>
      </c>
      <c r="O21" s="50">
        <v>3390.1061999999997</v>
      </c>
      <c r="P21" s="50">
        <v>3670.9434000000001</v>
      </c>
      <c r="Q21" s="50">
        <v>3831.4218000000001</v>
      </c>
      <c r="R21" s="50">
        <v>2325</v>
      </c>
      <c r="S21" s="51">
        <v>3929.25</v>
      </c>
      <c r="T21" s="51">
        <v>4254.75</v>
      </c>
      <c r="U21" s="51">
        <v>7504.8674999999994</v>
      </c>
      <c r="V21" s="50">
        <v>2731.03</v>
      </c>
      <c r="W21" s="50">
        <v>4615.4407000000001</v>
      </c>
      <c r="X21" s="50">
        <v>4997.7849000000006</v>
      </c>
      <c r="Y21" s="50">
        <v>5216.2673000000004</v>
      </c>
      <c r="Z21" s="50">
        <v>3383.57</v>
      </c>
      <c r="AA21" s="50">
        <v>5718.2332999999999</v>
      </c>
      <c r="AB21" s="50">
        <v>6191.9331000000002</v>
      </c>
      <c r="AC21" s="50">
        <v>6462.6187</v>
      </c>
      <c r="AD21" s="50">
        <v>3439.97</v>
      </c>
      <c r="AE21" s="50">
        <v>5813.5492999999997</v>
      </c>
      <c r="AF21" s="50">
        <v>6295.1450999999997</v>
      </c>
      <c r="AG21" s="50">
        <v>6570.3426999999992</v>
      </c>
      <c r="AH21" s="50">
        <v>3250</v>
      </c>
      <c r="AI21" s="50">
        <v>5492.5</v>
      </c>
      <c r="AJ21" s="50">
        <v>5947.5</v>
      </c>
      <c r="AK21" s="50">
        <v>6207.5</v>
      </c>
      <c r="AL21" s="50">
        <v>3574.32</v>
      </c>
      <c r="AM21" s="50">
        <v>6040.6008000000002</v>
      </c>
      <c r="AN21" s="50">
        <v>6541.0056000000004</v>
      </c>
      <c r="AO21" s="50">
        <v>6826.9512000000004</v>
      </c>
      <c r="AP21" s="50">
        <v>4547.29</v>
      </c>
      <c r="AQ21" s="50">
        <v>7684.9200999999994</v>
      </c>
      <c r="AR21" s="50">
        <v>8321.5406999999996</v>
      </c>
      <c r="AS21" s="50">
        <v>8685.3238999999994</v>
      </c>
      <c r="AT21" s="50">
        <v>4452.7</v>
      </c>
      <c r="AU21" s="50">
        <v>7525.0629999999992</v>
      </c>
      <c r="AV21" s="50">
        <v>8148.4409999999998</v>
      </c>
      <c r="AW21" s="50">
        <v>8504.6569999999992</v>
      </c>
      <c r="AX21" s="50">
        <v>5195.9399999999996</v>
      </c>
      <c r="AY21" s="50">
        <v>8781.1385999999984</v>
      </c>
      <c r="AZ21" s="50">
        <v>9508.5702000000001</v>
      </c>
      <c r="BA21" s="50">
        <v>9924.245399999998</v>
      </c>
      <c r="BB21" s="50">
        <v>5304.05</v>
      </c>
      <c r="BC21" s="50">
        <v>8963.8444999999992</v>
      </c>
      <c r="BD21" s="50">
        <v>9706.4115000000002</v>
      </c>
      <c r="BE21" s="50">
        <v>10130.735500000001</v>
      </c>
      <c r="BF21" s="50">
        <v>5331.08</v>
      </c>
      <c r="BG21" s="50">
        <v>9009.5252</v>
      </c>
      <c r="BH21" s="50">
        <v>9755.876400000001</v>
      </c>
      <c r="BI21" s="50">
        <v>10182.362799999999</v>
      </c>
      <c r="BJ21" s="50">
        <v>5689.18</v>
      </c>
      <c r="BK21" s="52">
        <v>9614.7142000000003</v>
      </c>
      <c r="BL21" s="52">
        <v>10411.199400000001</v>
      </c>
      <c r="BM21" s="52">
        <v>10866.3338</v>
      </c>
    </row>
    <row r="22" spans="1:65" ht="13.8">
      <c r="A22" s="46"/>
      <c r="B22" s="62"/>
      <c r="C22" s="62"/>
      <c r="D22" s="47" t="s">
        <v>75</v>
      </c>
      <c r="E22" s="48">
        <v>700</v>
      </c>
      <c r="F22" s="51">
        <v>1184.25</v>
      </c>
      <c r="G22" s="50">
        <v>2001.3824999999999</v>
      </c>
      <c r="H22" s="50">
        <v>2167.1775000000002</v>
      </c>
      <c r="I22" s="51">
        <v>2261.9175</v>
      </c>
      <c r="J22" s="50">
        <v>1587.06</v>
      </c>
      <c r="K22" s="50">
        <v>2682.1313999999998</v>
      </c>
      <c r="L22" s="50">
        <v>2904.3198000000002</v>
      </c>
      <c r="M22" s="50">
        <v>3031.2846</v>
      </c>
      <c r="N22" s="50">
        <v>2038.2</v>
      </c>
      <c r="O22" s="50">
        <v>3444.558</v>
      </c>
      <c r="P22" s="50">
        <v>3729.9060000000004</v>
      </c>
      <c r="Q22" s="50">
        <v>3892.962</v>
      </c>
      <c r="R22" s="50">
        <v>2486.12</v>
      </c>
      <c r="S22" s="51">
        <v>4201.5427999999993</v>
      </c>
      <c r="T22" s="51">
        <v>4549.5995999999996</v>
      </c>
      <c r="U22" s="51">
        <v>8024.9467479999985</v>
      </c>
      <c r="V22" s="50">
        <v>2892.15</v>
      </c>
      <c r="W22" s="50">
        <v>4887.7335000000003</v>
      </c>
      <c r="X22" s="50">
        <v>5292.6345000000001</v>
      </c>
      <c r="Y22" s="50">
        <v>5524.0064999999995</v>
      </c>
      <c r="Z22" s="50">
        <v>3568.86</v>
      </c>
      <c r="AA22" s="50">
        <v>6031.3734000000004</v>
      </c>
      <c r="AB22" s="50">
        <v>6531.0138000000006</v>
      </c>
      <c r="AC22" s="50">
        <v>6816.5226000000002</v>
      </c>
      <c r="AD22" s="50">
        <v>3681.65</v>
      </c>
      <c r="AE22" s="50">
        <v>6221.9885000000004</v>
      </c>
      <c r="AF22" s="50">
        <v>6737.4195000000009</v>
      </c>
      <c r="AG22" s="50">
        <v>7031.9515000000001</v>
      </c>
      <c r="AH22" s="50">
        <v>3310.81</v>
      </c>
      <c r="AI22" s="50">
        <v>5595.2689</v>
      </c>
      <c r="AJ22" s="50">
        <v>6058.7822999999999</v>
      </c>
      <c r="AK22" s="50">
        <v>6323.6470999999992</v>
      </c>
      <c r="AL22" s="50">
        <v>3648.65</v>
      </c>
      <c r="AM22" s="50">
        <v>6166.2184999999999</v>
      </c>
      <c r="AN22" s="50">
        <v>6677.0295000000006</v>
      </c>
      <c r="AO22" s="50">
        <v>6968.9214999999995</v>
      </c>
      <c r="AP22" s="50">
        <v>4628.37</v>
      </c>
      <c r="AQ22" s="50">
        <v>7821.9452999999994</v>
      </c>
      <c r="AR22" s="50">
        <v>8469.9171000000006</v>
      </c>
      <c r="AS22" s="50">
        <v>8840.1867000000002</v>
      </c>
      <c r="AT22" s="50">
        <v>4709.45</v>
      </c>
      <c r="AU22" s="50">
        <v>7958.9704999999994</v>
      </c>
      <c r="AV22" s="50">
        <v>8618.2934999999998</v>
      </c>
      <c r="AW22" s="50">
        <v>8995.0494999999992</v>
      </c>
      <c r="AX22" s="50">
        <v>5493.24</v>
      </c>
      <c r="AY22" s="50">
        <v>9283.5756000000001</v>
      </c>
      <c r="AZ22" s="50">
        <v>10052.629199999999</v>
      </c>
      <c r="BA22" s="50">
        <v>10492.088399999999</v>
      </c>
      <c r="BB22" s="50">
        <v>5668.91</v>
      </c>
      <c r="BC22" s="50">
        <v>9580.4578999999994</v>
      </c>
      <c r="BD22" s="50">
        <v>10374.105299999999</v>
      </c>
      <c r="BE22" s="50">
        <v>10827.6181</v>
      </c>
      <c r="BF22" s="50">
        <v>22560.79</v>
      </c>
      <c r="BG22" s="50">
        <v>38127.735099999998</v>
      </c>
      <c r="BH22" s="50">
        <v>41286.245700000007</v>
      </c>
      <c r="BI22" s="50">
        <v>43091.108899999999</v>
      </c>
      <c r="BJ22" s="50">
        <v>6074.32</v>
      </c>
      <c r="BK22" s="52">
        <v>10265.600799999998</v>
      </c>
      <c r="BL22" s="52">
        <v>11116.0056</v>
      </c>
      <c r="BM22" s="52">
        <v>11601.9512</v>
      </c>
    </row>
    <row r="23" spans="1:65" ht="13.8">
      <c r="A23" s="46"/>
      <c r="B23" s="62"/>
      <c r="C23" s="62"/>
      <c r="D23" s="47" t="s">
        <v>75</v>
      </c>
      <c r="E23" s="48">
        <v>800</v>
      </c>
      <c r="F23" s="51">
        <v>1200.3599999999999</v>
      </c>
      <c r="G23" s="50">
        <v>2028.6083999999998</v>
      </c>
      <c r="H23" s="50">
        <v>2196.6587999999997</v>
      </c>
      <c r="I23" s="51">
        <v>2292.6875999999997</v>
      </c>
      <c r="J23" s="50">
        <v>1619.28</v>
      </c>
      <c r="K23" s="50">
        <v>2736.5832</v>
      </c>
      <c r="L23" s="50">
        <v>2963.2824000000001</v>
      </c>
      <c r="M23" s="50">
        <v>3092.8247999999999</v>
      </c>
      <c r="N23" s="50">
        <v>2007.59</v>
      </c>
      <c r="O23" s="50">
        <v>3392.8271</v>
      </c>
      <c r="P23" s="50">
        <v>3673.8897000000002</v>
      </c>
      <c r="Q23" s="50">
        <v>3834.4968999999996</v>
      </c>
      <c r="R23" s="50">
        <v>2647.24</v>
      </c>
      <c r="S23" s="51">
        <v>4473.8355999999994</v>
      </c>
      <c r="T23" s="51">
        <v>4844.4492</v>
      </c>
      <c r="U23" s="51">
        <v>8545.0259959999985</v>
      </c>
      <c r="V23" s="50">
        <v>3053.27</v>
      </c>
      <c r="W23" s="50">
        <v>5160.0262999999995</v>
      </c>
      <c r="X23" s="50">
        <v>5587.4841000000006</v>
      </c>
      <c r="Y23" s="50">
        <v>5831.7456999999995</v>
      </c>
      <c r="Z23" s="50">
        <v>3665.54</v>
      </c>
      <c r="AA23" s="50">
        <v>6194.7626</v>
      </c>
      <c r="AB23" s="50">
        <v>6707.9382000000005</v>
      </c>
      <c r="AC23" s="50">
        <v>7001.1813999999995</v>
      </c>
      <c r="AD23" s="50">
        <v>3721.93</v>
      </c>
      <c r="AE23" s="50">
        <v>6290.0616999999993</v>
      </c>
      <c r="AF23" s="50">
        <v>6811.1319000000003</v>
      </c>
      <c r="AG23" s="50">
        <v>7108.8862999999992</v>
      </c>
      <c r="AH23" s="50">
        <v>3783.78</v>
      </c>
      <c r="AI23" s="50">
        <v>6394.5882000000001</v>
      </c>
      <c r="AJ23" s="50">
        <v>6924.3174000000008</v>
      </c>
      <c r="AK23" s="50">
        <v>7227.0198</v>
      </c>
      <c r="AL23" s="50">
        <v>3945.94</v>
      </c>
      <c r="AM23" s="50">
        <v>6668.6386000000002</v>
      </c>
      <c r="AN23" s="50">
        <v>7221.0702000000001</v>
      </c>
      <c r="AO23" s="50">
        <v>7536.7453999999998</v>
      </c>
      <c r="AP23" s="50">
        <v>4898.6400000000003</v>
      </c>
      <c r="AQ23" s="50">
        <v>8278.7016000000003</v>
      </c>
      <c r="AR23" s="50">
        <v>8964.5112000000008</v>
      </c>
      <c r="AS23" s="50">
        <v>9356.4024000000009</v>
      </c>
      <c r="AT23" s="50">
        <v>4993.24</v>
      </c>
      <c r="AU23" s="50">
        <v>8438.5756000000001</v>
      </c>
      <c r="AV23" s="50">
        <v>9137.6291999999994</v>
      </c>
      <c r="AW23" s="50">
        <v>9537.0883999999987</v>
      </c>
      <c r="AX23" s="50">
        <v>5898.64</v>
      </c>
      <c r="AY23" s="50">
        <v>9968.7016000000003</v>
      </c>
      <c r="AZ23" s="50">
        <v>10794.511200000001</v>
      </c>
      <c r="BA23" s="50">
        <v>11266.402400000001</v>
      </c>
      <c r="BB23" s="50">
        <v>5939.18</v>
      </c>
      <c r="BC23" s="50">
        <v>10037.2142</v>
      </c>
      <c r="BD23" s="50">
        <v>10868.699400000001</v>
      </c>
      <c r="BE23" s="50">
        <v>11343.8338</v>
      </c>
      <c r="BF23" s="50">
        <v>5945.94</v>
      </c>
      <c r="BG23" s="50">
        <v>10048.638599999998</v>
      </c>
      <c r="BH23" s="50">
        <v>10881.0702</v>
      </c>
      <c r="BI23" s="50">
        <v>11356.745399999998</v>
      </c>
      <c r="BJ23" s="50">
        <v>6249.99</v>
      </c>
      <c r="BK23" s="52">
        <v>10562.483099999999</v>
      </c>
      <c r="BL23" s="52">
        <v>11437.4817</v>
      </c>
      <c r="BM23" s="52">
        <v>11937.480899999999</v>
      </c>
    </row>
    <row r="24" spans="1:65" ht="13.8">
      <c r="A24" s="46"/>
      <c r="B24" s="62"/>
      <c r="C24" s="62"/>
      <c r="D24" s="47" t="s">
        <v>75</v>
      </c>
      <c r="E24" s="48">
        <v>900</v>
      </c>
      <c r="F24" s="51">
        <v>1224.53</v>
      </c>
      <c r="G24" s="50">
        <v>2069.4557</v>
      </c>
      <c r="H24" s="50">
        <v>2240.8899000000001</v>
      </c>
      <c r="I24" s="51">
        <v>2338.8523</v>
      </c>
      <c r="J24" s="50">
        <v>1651.51</v>
      </c>
      <c r="K24" s="50">
        <v>2791.0518999999999</v>
      </c>
      <c r="L24" s="50">
        <v>3022.2633000000001</v>
      </c>
      <c r="M24" s="50">
        <v>3154.3840999999998</v>
      </c>
      <c r="N24" s="50">
        <v>2091.37</v>
      </c>
      <c r="O24" s="50">
        <v>3534.4152999999997</v>
      </c>
      <c r="P24" s="50">
        <v>3827.2071000000001</v>
      </c>
      <c r="Q24" s="50">
        <v>3994.5166999999997</v>
      </c>
      <c r="R24" s="50">
        <v>2808.37</v>
      </c>
      <c r="S24" s="51">
        <v>4746.1452999999992</v>
      </c>
      <c r="T24" s="51">
        <v>5139.3171000000002</v>
      </c>
      <c r="U24" s="51">
        <v>9065.1375229999976</v>
      </c>
      <c r="V24" s="50">
        <v>3198.28</v>
      </c>
      <c r="W24" s="50">
        <v>5405.0932000000003</v>
      </c>
      <c r="X24" s="50">
        <v>5852.8524000000007</v>
      </c>
      <c r="Y24" s="50">
        <v>6108.7147999999997</v>
      </c>
      <c r="Z24" s="50">
        <v>3826.66</v>
      </c>
      <c r="AA24" s="50">
        <v>6467.0553999999993</v>
      </c>
      <c r="AB24" s="50">
        <v>7002.7878000000001</v>
      </c>
      <c r="AC24" s="50">
        <v>7308.9205999999995</v>
      </c>
      <c r="AD24" s="50">
        <v>3915.28</v>
      </c>
      <c r="AE24" s="50">
        <v>6616.8231999999998</v>
      </c>
      <c r="AF24" s="50">
        <v>7164.9624000000003</v>
      </c>
      <c r="AG24" s="50">
        <v>7478.1848</v>
      </c>
      <c r="AH24" s="50">
        <v>4256.75</v>
      </c>
      <c r="AI24" s="50">
        <v>7193.9074999999993</v>
      </c>
      <c r="AJ24" s="50">
        <v>7789.8525</v>
      </c>
      <c r="AK24" s="50">
        <v>8130.3924999999999</v>
      </c>
      <c r="AL24" s="50">
        <v>4378.37</v>
      </c>
      <c r="AM24" s="50">
        <v>7399.4452999999994</v>
      </c>
      <c r="AN24" s="50">
        <v>8012.4170999999997</v>
      </c>
      <c r="AO24" s="50">
        <v>8362.6867000000002</v>
      </c>
      <c r="AP24" s="50">
        <v>5168.91</v>
      </c>
      <c r="AQ24" s="50">
        <v>8735.4578999999994</v>
      </c>
      <c r="AR24" s="50">
        <v>9459.1052999999993</v>
      </c>
      <c r="AS24" s="50">
        <v>9872.6180999999997</v>
      </c>
      <c r="AT24" s="50">
        <v>5304.05</v>
      </c>
      <c r="AU24" s="50">
        <v>8963.8444999999992</v>
      </c>
      <c r="AV24" s="50">
        <v>9706.4115000000002</v>
      </c>
      <c r="AW24" s="50">
        <v>10130.735500000001</v>
      </c>
      <c r="AX24" s="50">
        <v>6141.89</v>
      </c>
      <c r="AY24" s="50">
        <v>10379.794100000001</v>
      </c>
      <c r="AZ24" s="50">
        <v>11239.658700000002</v>
      </c>
      <c r="BA24" s="50">
        <v>11731.009900000001</v>
      </c>
      <c r="BB24" s="50">
        <v>6209.45</v>
      </c>
      <c r="BC24" s="50">
        <v>10493.970499999999</v>
      </c>
      <c r="BD24" s="50">
        <v>11363.2935</v>
      </c>
      <c r="BE24" s="50">
        <v>11860.049499999999</v>
      </c>
      <c r="BF24" s="50">
        <v>6689.18</v>
      </c>
      <c r="BG24" s="50">
        <v>11304.7142</v>
      </c>
      <c r="BH24" s="50">
        <v>12241.199400000001</v>
      </c>
      <c r="BI24" s="50">
        <v>12776.3338</v>
      </c>
      <c r="BJ24" s="50">
        <v>6689.18</v>
      </c>
      <c r="BK24" s="52">
        <v>11304.7142</v>
      </c>
      <c r="BL24" s="52">
        <v>12241.199400000001</v>
      </c>
      <c r="BM24" s="52">
        <v>12776.3338</v>
      </c>
    </row>
    <row r="25" spans="1:65" ht="13.8">
      <c r="A25" s="46"/>
      <c r="B25" s="62"/>
      <c r="C25" s="62"/>
      <c r="D25" s="47" t="s">
        <v>75</v>
      </c>
      <c r="E25" s="48">
        <v>1000</v>
      </c>
      <c r="F25" s="51">
        <v>1236.29</v>
      </c>
      <c r="G25" s="51">
        <v>2089.3300999999997</v>
      </c>
      <c r="H25" s="51">
        <v>2262.4106999999999</v>
      </c>
      <c r="I25" s="51">
        <v>2361.3138999999996</v>
      </c>
      <c r="J25" s="50">
        <v>1689.69</v>
      </c>
      <c r="K25" s="50">
        <v>2855.5761000000002</v>
      </c>
      <c r="L25" s="50">
        <v>3092.1327000000001</v>
      </c>
      <c r="M25" s="50">
        <v>3227.3078999999998</v>
      </c>
      <c r="N25" s="50">
        <v>2210.6</v>
      </c>
      <c r="O25" s="50">
        <v>3735.9139999999998</v>
      </c>
      <c r="P25" s="50">
        <v>4045.3980000000001</v>
      </c>
      <c r="Q25" s="50">
        <v>4222.2460000000001</v>
      </c>
      <c r="R25" s="50">
        <v>2855.09</v>
      </c>
      <c r="S25" s="51">
        <v>4825.1021000000001</v>
      </c>
      <c r="T25" s="51">
        <v>5224.8147000000008</v>
      </c>
      <c r="U25" s="51">
        <v>9215.9450109999998</v>
      </c>
      <c r="V25" s="50">
        <v>3497.97</v>
      </c>
      <c r="W25" s="50">
        <v>5911.5692999999992</v>
      </c>
      <c r="X25" s="50">
        <v>6401.2851000000001</v>
      </c>
      <c r="Y25" s="50">
        <v>6681.122699999999</v>
      </c>
      <c r="Z25" s="50">
        <v>3871.77</v>
      </c>
      <c r="AA25" s="50">
        <v>6543.2912999999999</v>
      </c>
      <c r="AB25" s="50">
        <v>7085.3391000000001</v>
      </c>
      <c r="AC25" s="50">
        <v>7395.0806999999995</v>
      </c>
      <c r="AD25" s="50">
        <v>4479.21</v>
      </c>
      <c r="AE25" s="50">
        <v>7569.8648999999996</v>
      </c>
      <c r="AF25" s="50">
        <v>8196.9543000000012</v>
      </c>
      <c r="AG25" s="50">
        <v>8555.2911000000004</v>
      </c>
      <c r="AH25" s="50">
        <v>4555.3999999999996</v>
      </c>
      <c r="AI25" s="50">
        <v>7698.6259999999993</v>
      </c>
      <c r="AJ25" s="50">
        <v>8336.3819999999996</v>
      </c>
      <c r="AK25" s="50">
        <v>8700.8139999999985</v>
      </c>
      <c r="AL25" s="50">
        <v>4856.75</v>
      </c>
      <c r="AM25" s="50">
        <v>8207.9074999999993</v>
      </c>
      <c r="AN25" s="50">
        <v>8887.8525000000009</v>
      </c>
      <c r="AO25" s="50">
        <v>9276.3924999999999</v>
      </c>
      <c r="AP25" s="50">
        <v>5587.83</v>
      </c>
      <c r="AQ25" s="50">
        <v>9443.4326999999994</v>
      </c>
      <c r="AR25" s="50">
        <v>10225.7289</v>
      </c>
      <c r="AS25" s="50">
        <v>10672.755299999999</v>
      </c>
      <c r="AT25" s="50">
        <v>5513.51</v>
      </c>
      <c r="AU25" s="50">
        <v>9317.8318999999992</v>
      </c>
      <c r="AV25" s="50">
        <v>10089.723300000001</v>
      </c>
      <c r="AW25" s="50">
        <v>10530.804099999999</v>
      </c>
      <c r="AX25" s="50">
        <v>6417.56</v>
      </c>
      <c r="AY25" s="50">
        <v>10845.6764</v>
      </c>
      <c r="AZ25" s="50">
        <v>11744.134800000002</v>
      </c>
      <c r="BA25" s="50">
        <v>12257.5396</v>
      </c>
      <c r="BB25" s="50">
        <v>6517.56</v>
      </c>
      <c r="BC25" s="50">
        <v>11014.6764</v>
      </c>
      <c r="BD25" s="50">
        <v>11927.134800000002</v>
      </c>
      <c r="BE25" s="50">
        <v>12448.5396</v>
      </c>
      <c r="BF25" s="50">
        <v>7325.67</v>
      </c>
      <c r="BG25" s="50">
        <v>12380.382299999999</v>
      </c>
      <c r="BH25" s="50">
        <v>13405.9761</v>
      </c>
      <c r="BI25" s="50">
        <v>13992.029699999999</v>
      </c>
      <c r="BJ25" s="50">
        <v>7325.67</v>
      </c>
      <c r="BK25" s="52">
        <v>12380.382299999999</v>
      </c>
      <c r="BL25" s="52">
        <v>13405.9761</v>
      </c>
      <c r="BM25" s="52">
        <v>13992.029699999999</v>
      </c>
    </row>
    <row r="26" spans="1:65" ht="13.8">
      <c r="A26" s="46"/>
      <c r="B26" s="62"/>
      <c r="C26" s="62"/>
      <c r="D26" s="47" t="s">
        <v>75</v>
      </c>
      <c r="E26" s="48">
        <v>2000</v>
      </c>
      <c r="F26" s="51">
        <v>1352.14</v>
      </c>
      <c r="G26" s="50">
        <v>2285.1166000000003</v>
      </c>
      <c r="H26" s="50">
        <v>2474.4162000000001</v>
      </c>
      <c r="I26" s="51">
        <v>2582.5873999999999</v>
      </c>
      <c r="J26" s="50">
        <v>2160.65</v>
      </c>
      <c r="K26" s="50">
        <v>3651.4985000000001</v>
      </c>
      <c r="L26" s="50">
        <v>3953.9895000000001</v>
      </c>
      <c r="M26" s="50">
        <v>4126.8415000000005</v>
      </c>
      <c r="N26" s="50">
        <v>2498.37</v>
      </c>
      <c r="O26" s="50">
        <v>4222.2452999999996</v>
      </c>
      <c r="P26" s="50">
        <v>4572.0171</v>
      </c>
      <c r="Q26" s="50">
        <v>4771.8867</v>
      </c>
      <c r="R26" s="50">
        <v>3504.41</v>
      </c>
      <c r="S26" s="51">
        <v>5922.4528999999993</v>
      </c>
      <c r="T26" s="51">
        <v>6413.0703000000003</v>
      </c>
      <c r="U26" s="51">
        <v>11311.885038999999</v>
      </c>
      <c r="V26" s="50">
        <v>4282.6400000000003</v>
      </c>
      <c r="W26" s="50">
        <v>7237.6616000000004</v>
      </c>
      <c r="X26" s="50">
        <v>7837.2312000000011</v>
      </c>
      <c r="Y26" s="50">
        <v>8179.8424000000005</v>
      </c>
      <c r="Z26" s="50">
        <v>5424.99</v>
      </c>
      <c r="AA26" s="50">
        <v>9168.2330999999995</v>
      </c>
      <c r="AB26" s="50">
        <v>9927.7317000000003</v>
      </c>
      <c r="AC26" s="50">
        <v>10361.730899999999</v>
      </c>
      <c r="AD26" s="50">
        <v>5334.77</v>
      </c>
      <c r="AE26" s="50">
        <v>9015.7613000000001</v>
      </c>
      <c r="AF26" s="50">
        <v>9762.6291000000019</v>
      </c>
      <c r="AG26" s="50">
        <v>10189.4107</v>
      </c>
      <c r="AH26" s="50">
        <v>5545.94</v>
      </c>
      <c r="AI26" s="50">
        <v>9372.6385999999984</v>
      </c>
      <c r="AJ26" s="50">
        <v>10149.0702</v>
      </c>
      <c r="AK26" s="50">
        <v>10592.745399999998</v>
      </c>
      <c r="AL26" s="50">
        <v>5782.43</v>
      </c>
      <c r="AM26" s="50">
        <v>9772.306700000001</v>
      </c>
      <c r="AN26" s="50">
        <v>10581.8469</v>
      </c>
      <c r="AO26" s="50">
        <v>11044.4413</v>
      </c>
      <c r="AP26" s="50">
        <v>6664.86</v>
      </c>
      <c r="AQ26" s="50">
        <v>11263.613399999998</v>
      </c>
      <c r="AR26" s="50">
        <v>12196.693799999999</v>
      </c>
      <c r="AS26" s="50">
        <v>12729.882599999999</v>
      </c>
      <c r="AT26" s="50">
        <v>6589.18</v>
      </c>
      <c r="AU26" s="50">
        <v>11135.7142</v>
      </c>
      <c r="AV26" s="50">
        <v>12058.199400000001</v>
      </c>
      <c r="AW26" s="50">
        <v>12585.3338</v>
      </c>
      <c r="AX26" s="50">
        <v>7601.34</v>
      </c>
      <c r="AY26" s="50">
        <v>12846.2646</v>
      </c>
      <c r="AZ26" s="50">
        <v>13910.452200000002</v>
      </c>
      <c r="BA26" s="50">
        <v>14518.5594</v>
      </c>
      <c r="BB26" s="50">
        <v>7801.34</v>
      </c>
      <c r="BC26" s="50">
        <v>13184.2646</v>
      </c>
      <c r="BD26" s="50">
        <v>14276.452200000002</v>
      </c>
      <c r="BE26" s="50">
        <v>14900.5594</v>
      </c>
      <c r="BF26" s="50">
        <v>8759.4500000000007</v>
      </c>
      <c r="BG26" s="50">
        <v>14803.470500000001</v>
      </c>
      <c r="BH26" s="50">
        <v>16029.793500000002</v>
      </c>
      <c r="BI26" s="50">
        <v>16730.549500000001</v>
      </c>
      <c r="BJ26" s="50">
        <v>8759.4500000000007</v>
      </c>
      <c r="BK26" s="52">
        <v>14803.470500000001</v>
      </c>
      <c r="BL26" s="52">
        <v>16029.793500000002</v>
      </c>
      <c r="BM26" s="52">
        <v>16730.549500000001</v>
      </c>
    </row>
    <row r="27" spans="1:65" ht="13.8">
      <c r="A27" s="46"/>
      <c r="B27" s="62"/>
      <c r="C27" s="62"/>
      <c r="D27" s="47" t="s">
        <v>75</v>
      </c>
      <c r="E27" s="48">
        <v>2500</v>
      </c>
      <c r="F27" s="51">
        <v>1432.78</v>
      </c>
      <c r="G27" s="50">
        <v>2421.3982000000001</v>
      </c>
      <c r="H27" s="50">
        <v>2621.9874</v>
      </c>
      <c r="I27" s="51">
        <v>2736.6097999999997</v>
      </c>
      <c r="J27" s="50">
        <v>2246.85</v>
      </c>
      <c r="K27" s="50">
        <v>3797.1764999999996</v>
      </c>
      <c r="L27" s="50">
        <v>4111.7354999999998</v>
      </c>
      <c r="M27" s="50">
        <v>4291.4834999999994</v>
      </c>
      <c r="N27" s="50">
        <v>2931.62</v>
      </c>
      <c r="O27" s="50">
        <v>4954.4377999999997</v>
      </c>
      <c r="P27" s="50">
        <v>5364.8645999999999</v>
      </c>
      <c r="Q27" s="50">
        <v>5599.3941999999997</v>
      </c>
      <c r="R27" s="50">
        <v>3775.1</v>
      </c>
      <c r="S27" s="51">
        <v>6379.9189999999999</v>
      </c>
      <c r="T27" s="51">
        <v>6908.433</v>
      </c>
      <c r="U27" s="51">
        <v>12185.645289999999</v>
      </c>
      <c r="V27" s="50">
        <v>4625.83</v>
      </c>
      <c r="W27" s="50">
        <v>7817.6526999999996</v>
      </c>
      <c r="X27" s="50">
        <v>8465.2689000000009</v>
      </c>
      <c r="Y27" s="50">
        <v>8835.3352999999988</v>
      </c>
      <c r="Z27" s="50">
        <v>5471.72</v>
      </c>
      <c r="AA27" s="50">
        <v>9247.2067999999999</v>
      </c>
      <c r="AB27" s="50">
        <v>10013.247600000001</v>
      </c>
      <c r="AC27" s="50">
        <v>10450.985199999999</v>
      </c>
      <c r="AD27" s="50">
        <v>6064.65</v>
      </c>
      <c r="AE27" s="50">
        <v>10249.2585</v>
      </c>
      <c r="AF27" s="50">
        <v>11098.309499999999</v>
      </c>
      <c r="AG27" s="50">
        <v>11583.481499999998</v>
      </c>
      <c r="AH27" s="50">
        <v>6020.26</v>
      </c>
      <c r="AI27" s="50">
        <v>10174.2394</v>
      </c>
      <c r="AJ27" s="50">
        <v>11017.075800000001</v>
      </c>
      <c r="AK27" s="50">
        <v>11498.696599999999</v>
      </c>
      <c r="AL27" s="50">
        <v>6493.24</v>
      </c>
      <c r="AM27" s="50">
        <v>10973.5756</v>
      </c>
      <c r="AN27" s="50">
        <v>11882.629199999999</v>
      </c>
      <c r="AO27" s="50">
        <v>12402.088399999999</v>
      </c>
      <c r="AP27" s="50">
        <v>7152.7</v>
      </c>
      <c r="AQ27" s="50">
        <v>12088.063</v>
      </c>
      <c r="AR27" s="50">
        <v>13089.441000000001</v>
      </c>
      <c r="AS27" s="50">
        <v>13661.656999999999</v>
      </c>
      <c r="AT27" s="50">
        <v>7472.97</v>
      </c>
      <c r="AU27" s="50">
        <v>12629.319299999999</v>
      </c>
      <c r="AV27" s="50">
        <v>13675.535100000001</v>
      </c>
      <c r="AW27" s="50">
        <v>14273.3727</v>
      </c>
      <c r="AX27" s="50">
        <v>8343.23</v>
      </c>
      <c r="AY27" s="50">
        <v>14100.0587</v>
      </c>
      <c r="AZ27" s="50">
        <v>15268.1109</v>
      </c>
      <c r="BA27" s="50">
        <v>15935.569299999999</v>
      </c>
      <c r="BB27" s="50">
        <v>8443.23</v>
      </c>
      <c r="BC27" s="50">
        <v>14269.0587</v>
      </c>
      <c r="BD27" s="50">
        <v>15451.1109</v>
      </c>
      <c r="BE27" s="50">
        <v>16126.569299999999</v>
      </c>
      <c r="BF27" s="50">
        <v>9478.3700000000008</v>
      </c>
      <c r="BG27" s="50">
        <v>16018.445300000001</v>
      </c>
      <c r="BH27" s="50">
        <v>17345.417100000002</v>
      </c>
      <c r="BI27" s="50">
        <v>18103.686700000002</v>
      </c>
      <c r="BJ27" s="50">
        <v>9478.3700000000008</v>
      </c>
      <c r="BK27" s="52">
        <v>16018.445300000001</v>
      </c>
      <c r="BL27" s="52">
        <v>17345.417100000002</v>
      </c>
      <c r="BM27" s="52">
        <v>18103.686700000002</v>
      </c>
    </row>
    <row r="28" spans="1:65" ht="13.8">
      <c r="A28" s="46"/>
      <c r="B28" s="62"/>
      <c r="C28" s="62"/>
      <c r="D28" s="47" t="s">
        <v>75</v>
      </c>
      <c r="E28" s="48">
        <v>3000</v>
      </c>
      <c r="F28" s="50">
        <v>1583.51</v>
      </c>
      <c r="G28" s="50">
        <v>2676.1318999999999</v>
      </c>
      <c r="H28" s="50">
        <v>2897.8233</v>
      </c>
      <c r="I28" s="51">
        <v>3024.5040999999997</v>
      </c>
      <c r="J28" s="50">
        <v>2729.09</v>
      </c>
      <c r="K28" s="50">
        <v>4612.1621000000005</v>
      </c>
      <c r="L28" s="50">
        <v>4994.2347000000009</v>
      </c>
      <c r="M28" s="50">
        <v>5212.5618999999997</v>
      </c>
      <c r="N28" s="50">
        <v>2991.56</v>
      </c>
      <c r="O28" s="50">
        <v>5055.7363999999998</v>
      </c>
      <c r="P28" s="50">
        <v>5474.5547999999999</v>
      </c>
      <c r="Q28" s="50">
        <v>5713.8795999999993</v>
      </c>
      <c r="R28" s="50">
        <v>4111.8500000000004</v>
      </c>
      <c r="S28" s="51">
        <v>6949.0264999999999</v>
      </c>
      <c r="T28" s="51">
        <v>7524.6855000000014</v>
      </c>
      <c r="U28" s="51">
        <v>13272.640614999998</v>
      </c>
      <c r="V28" s="50">
        <v>4962.57</v>
      </c>
      <c r="W28" s="50">
        <v>8386.7433000000001</v>
      </c>
      <c r="X28" s="50">
        <v>9081.5030999999999</v>
      </c>
      <c r="Y28" s="50">
        <v>9478.5086999999985</v>
      </c>
      <c r="Z28" s="50">
        <v>6282.17</v>
      </c>
      <c r="AA28" s="50">
        <v>10616.8673</v>
      </c>
      <c r="AB28" s="50">
        <v>11496.3711</v>
      </c>
      <c r="AC28" s="50">
        <v>11998.9447</v>
      </c>
      <c r="AD28" s="50">
        <v>6190.33</v>
      </c>
      <c r="AE28" s="50">
        <v>10461.6577</v>
      </c>
      <c r="AF28" s="50">
        <v>11328.303900000001</v>
      </c>
      <c r="AG28" s="50">
        <v>11823.530299999999</v>
      </c>
      <c r="AH28" s="50">
        <v>6371.62</v>
      </c>
      <c r="AI28" s="50">
        <v>10768.0378</v>
      </c>
      <c r="AJ28" s="50">
        <v>11660.0646</v>
      </c>
      <c r="AK28" s="50">
        <v>12169.794199999998</v>
      </c>
      <c r="AL28" s="50">
        <v>6710.8</v>
      </c>
      <c r="AM28" s="50">
        <v>11341.252</v>
      </c>
      <c r="AN28" s="50">
        <v>12280.764000000001</v>
      </c>
      <c r="AO28" s="50">
        <v>12817.628000000001</v>
      </c>
      <c r="AP28" s="50">
        <v>7739.18</v>
      </c>
      <c r="AQ28" s="50">
        <v>13079.2142</v>
      </c>
      <c r="AR28" s="50">
        <v>14162.699400000001</v>
      </c>
      <c r="AS28" s="50">
        <v>14781.8338</v>
      </c>
      <c r="AT28" s="50">
        <v>7663.51</v>
      </c>
      <c r="AU28" s="50">
        <v>12951.331899999999</v>
      </c>
      <c r="AV28" s="50">
        <v>14024.223300000001</v>
      </c>
      <c r="AW28" s="50">
        <v>14637.304099999999</v>
      </c>
      <c r="AX28" s="50">
        <v>8786.48</v>
      </c>
      <c r="AY28" s="50">
        <v>14849.151199999998</v>
      </c>
      <c r="AZ28" s="50">
        <v>16079.258400000001</v>
      </c>
      <c r="BA28" s="50">
        <v>16782.176799999997</v>
      </c>
      <c r="BB28" s="50">
        <v>9085.1299999999992</v>
      </c>
      <c r="BC28" s="50">
        <v>15353.869699999997</v>
      </c>
      <c r="BD28" s="50">
        <v>16625.787899999999</v>
      </c>
      <c r="BE28" s="50">
        <v>17352.598299999998</v>
      </c>
      <c r="BF28" s="50">
        <v>10197.290000000001</v>
      </c>
      <c r="BG28" s="50">
        <v>17233.420099999999</v>
      </c>
      <c r="BH28" s="50">
        <v>18661.040700000001</v>
      </c>
      <c r="BI28" s="50">
        <v>19476.823899999999</v>
      </c>
      <c r="BJ28" s="50">
        <v>10197.290000000001</v>
      </c>
      <c r="BK28" s="52">
        <v>17233.420099999999</v>
      </c>
      <c r="BL28" s="52">
        <v>18661.040700000001</v>
      </c>
      <c r="BM28" s="52">
        <v>19476.823899999999</v>
      </c>
    </row>
    <row r="29" spans="1:65" ht="13.8">
      <c r="A29" s="46"/>
      <c r="B29" s="62"/>
      <c r="C29" s="62"/>
      <c r="D29" s="47" t="s">
        <v>75</v>
      </c>
      <c r="E29" s="48">
        <v>4000</v>
      </c>
      <c r="F29" s="50">
        <v>1807.15</v>
      </c>
      <c r="G29" s="50">
        <v>3054.0835000000002</v>
      </c>
      <c r="H29" s="50">
        <v>3307.0845000000004</v>
      </c>
      <c r="I29" s="51">
        <v>3451.6565000000001</v>
      </c>
      <c r="J29" s="50">
        <v>2956.28</v>
      </c>
      <c r="K29" s="50">
        <v>4996.1131999999998</v>
      </c>
      <c r="L29" s="50">
        <v>5409.992400000001</v>
      </c>
      <c r="M29" s="50">
        <v>5646.4948000000004</v>
      </c>
      <c r="N29" s="50">
        <v>3472.51</v>
      </c>
      <c r="O29" s="50">
        <v>5868.5419000000002</v>
      </c>
      <c r="P29" s="50">
        <v>6354.6933000000008</v>
      </c>
      <c r="Q29" s="50">
        <v>6632.4940999999999</v>
      </c>
      <c r="R29" s="50">
        <v>4735.3900000000003</v>
      </c>
      <c r="S29" s="51">
        <v>8002.8091000000004</v>
      </c>
      <c r="T29" s="51">
        <v>8665.7637000000013</v>
      </c>
      <c r="U29" s="51">
        <v>15285.365381</v>
      </c>
      <c r="V29" s="50">
        <v>5632.84</v>
      </c>
      <c r="W29" s="50">
        <v>9519.4995999999992</v>
      </c>
      <c r="X29" s="50">
        <v>10308.0972</v>
      </c>
      <c r="Y29" s="50">
        <v>10758.724399999999</v>
      </c>
      <c r="Z29" s="50">
        <v>7139.34</v>
      </c>
      <c r="AA29" s="50">
        <v>12065.4846</v>
      </c>
      <c r="AB29" s="50">
        <v>13064.992200000001</v>
      </c>
      <c r="AC29" s="50">
        <v>13636.1394</v>
      </c>
      <c r="AD29" s="50">
        <v>7050.72</v>
      </c>
      <c r="AE29" s="50">
        <v>11915.7168</v>
      </c>
      <c r="AF29" s="50">
        <v>12902.8176</v>
      </c>
      <c r="AG29" s="50">
        <v>13466.8752</v>
      </c>
      <c r="AH29" s="50">
        <v>7197.29</v>
      </c>
      <c r="AI29" s="50">
        <v>12163.420099999999</v>
      </c>
      <c r="AJ29" s="50">
        <v>13171.0407</v>
      </c>
      <c r="AK29" s="50">
        <v>13746.823899999999</v>
      </c>
      <c r="AL29" s="50">
        <v>7636.48</v>
      </c>
      <c r="AM29" s="50">
        <v>12905.651199999998</v>
      </c>
      <c r="AN29" s="50">
        <v>13974.758400000001</v>
      </c>
      <c r="AO29" s="50">
        <v>14585.676799999999</v>
      </c>
      <c r="AP29" s="50">
        <v>8817.56</v>
      </c>
      <c r="AQ29" s="50">
        <v>14901.676399999998</v>
      </c>
      <c r="AR29" s="50">
        <v>16136.1348</v>
      </c>
      <c r="AS29" s="50">
        <v>16841.5396</v>
      </c>
      <c r="AT29" s="50">
        <v>8741.8799999999992</v>
      </c>
      <c r="AU29" s="50">
        <v>14773.777199999999</v>
      </c>
      <c r="AV29" s="50">
        <v>15997.640399999998</v>
      </c>
      <c r="AW29" s="50">
        <v>16696.9908</v>
      </c>
      <c r="AX29" s="50">
        <v>9970.26</v>
      </c>
      <c r="AY29" s="50">
        <v>16849.739399999999</v>
      </c>
      <c r="AZ29" s="50">
        <v>18245.575800000002</v>
      </c>
      <c r="BA29" s="50">
        <v>19043.196599999999</v>
      </c>
      <c r="BB29" s="50">
        <v>10377.02</v>
      </c>
      <c r="BC29" s="50">
        <v>17537.163799999998</v>
      </c>
      <c r="BD29" s="50">
        <v>18989.946600000003</v>
      </c>
      <c r="BE29" s="50">
        <v>19820.108199999999</v>
      </c>
      <c r="BF29" s="50">
        <v>11632.42</v>
      </c>
      <c r="BG29" s="50">
        <v>19658.789799999999</v>
      </c>
      <c r="BH29" s="50">
        <v>21287.328600000001</v>
      </c>
      <c r="BI29" s="50">
        <v>22217.922200000001</v>
      </c>
      <c r="BJ29" s="50">
        <v>11632.42</v>
      </c>
      <c r="BK29" s="52">
        <v>19658.789799999999</v>
      </c>
      <c r="BL29" s="52">
        <v>21287.328600000001</v>
      </c>
      <c r="BM29" s="52">
        <v>22217.922200000001</v>
      </c>
    </row>
    <row r="30" spans="1:65" ht="13.8">
      <c r="A30" s="46"/>
      <c r="B30" s="62"/>
      <c r="C30" s="62"/>
      <c r="D30" s="47" t="s">
        <v>75</v>
      </c>
      <c r="E30" s="48">
        <v>5000</v>
      </c>
      <c r="F30" s="50">
        <v>1975.36</v>
      </c>
      <c r="G30" s="51">
        <v>3338.3583999999996</v>
      </c>
      <c r="H30" s="51">
        <v>3614.9088000000002</v>
      </c>
      <c r="I30" s="51">
        <v>3772.9375999999997</v>
      </c>
      <c r="J30" s="50">
        <v>3199.89</v>
      </c>
      <c r="K30" s="50">
        <v>5407.8140999999996</v>
      </c>
      <c r="L30" s="50">
        <v>5855.7987000000003</v>
      </c>
      <c r="M30" s="50">
        <v>6111.7898999999998</v>
      </c>
      <c r="N30" s="50">
        <v>3838.74</v>
      </c>
      <c r="O30" s="50">
        <v>6487.4705999999996</v>
      </c>
      <c r="P30" s="50">
        <v>7024.8941999999997</v>
      </c>
      <c r="Q30" s="50">
        <v>7331.9933999999994</v>
      </c>
      <c r="R30" s="50">
        <v>4996.41</v>
      </c>
      <c r="S30" s="51">
        <v>8443.9328999999998</v>
      </c>
      <c r="T30" s="51">
        <v>9143.4303</v>
      </c>
      <c r="U30" s="51">
        <v>16127.911838999999</v>
      </c>
      <c r="V30" s="50">
        <v>6151.66</v>
      </c>
      <c r="W30" s="50">
        <v>10396.305399999999</v>
      </c>
      <c r="X30" s="50">
        <v>11257.5378</v>
      </c>
      <c r="Y30" s="50">
        <v>11749.670599999999</v>
      </c>
      <c r="Z30" s="50">
        <v>7305.29</v>
      </c>
      <c r="AA30" s="50">
        <v>12345.9401</v>
      </c>
      <c r="AB30" s="50">
        <v>13368.680700000001</v>
      </c>
      <c r="AC30" s="50">
        <v>13953.1039</v>
      </c>
      <c r="AD30" s="50">
        <v>7901.45</v>
      </c>
      <c r="AE30" s="50">
        <v>13353.450499999999</v>
      </c>
      <c r="AF30" s="50">
        <v>14459.6535</v>
      </c>
      <c r="AG30" s="50">
        <v>15091.769499999999</v>
      </c>
      <c r="AH30" s="50">
        <v>8025.67</v>
      </c>
      <c r="AI30" s="50">
        <v>13563.382299999999</v>
      </c>
      <c r="AJ30" s="50">
        <v>14686.9761</v>
      </c>
      <c r="AK30" s="50">
        <v>15329.029699999999</v>
      </c>
      <c r="AL30" s="50">
        <v>8558.1</v>
      </c>
      <c r="AM30" s="50">
        <v>14463.189</v>
      </c>
      <c r="AN30" s="50">
        <v>15661.323000000002</v>
      </c>
      <c r="AO30" s="50">
        <v>16345.971</v>
      </c>
      <c r="AP30" s="50">
        <v>9897.2900000000009</v>
      </c>
      <c r="AQ30" s="50">
        <v>16726.420099999999</v>
      </c>
      <c r="AR30" s="50">
        <v>18112.040700000001</v>
      </c>
      <c r="AS30" s="50">
        <v>18903.823899999999</v>
      </c>
      <c r="AT30" s="50">
        <v>9820.26</v>
      </c>
      <c r="AU30" s="50">
        <v>16596.239399999999</v>
      </c>
      <c r="AV30" s="50">
        <v>17971.075800000002</v>
      </c>
      <c r="AW30" s="50">
        <v>18756.696599999999</v>
      </c>
      <c r="AX30" s="50">
        <v>11158.1</v>
      </c>
      <c r="AY30" s="50">
        <v>18857.188999999998</v>
      </c>
      <c r="AZ30" s="50">
        <v>20419.323</v>
      </c>
      <c r="BA30" s="50">
        <v>21311.971000000001</v>
      </c>
      <c r="BB30" s="50">
        <v>11656.75</v>
      </c>
      <c r="BC30" s="50">
        <v>19699.907500000001</v>
      </c>
      <c r="BD30" s="50">
        <v>21331.852500000001</v>
      </c>
      <c r="BE30" s="50">
        <v>22264.392499999998</v>
      </c>
      <c r="BF30" s="50">
        <v>13064.85</v>
      </c>
      <c r="BG30" s="50">
        <v>22079.5965</v>
      </c>
      <c r="BH30" s="50">
        <v>23908.675500000001</v>
      </c>
      <c r="BI30" s="50">
        <v>24953.863499999999</v>
      </c>
      <c r="BJ30" s="50">
        <v>13064.85</v>
      </c>
      <c r="BK30" s="52">
        <v>22079.5965</v>
      </c>
      <c r="BL30" s="52">
        <v>23908.675500000001</v>
      </c>
      <c r="BM30" s="52">
        <v>24953.863499999999</v>
      </c>
    </row>
    <row r="31" spans="1:65" ht="13.8">
      <c r="A31" s="46"/>
      <c r="B31" s="62"/>
      <c r="C31" s="62"/>
      <c r="D31" s="47" t="s">
        <v>75</v>
      </c>
      <c r="E31" s="48">
        <v>6000</v>
      </c>
      <c r="F31" s="50">
        <v>2307.6</v>
      </c>
      <c r="G31" s="50">
        <v>3899.8439999999996</v>
      </c>
      <c r="H31" s="50">
        <v>4222.9080000000004</v>
      </c>
      <c r="I31" s="51">
        <v>4407.5159999999996</v>
      </c>
      <c r="J31" s="50">
        <v>3603.99</v>
      </c>
      <c r="K31" s="50">
        <v>6090.7430999999997</v>
      </c>
      <c r="L31" s="50">
        <v>6595.3017</v>
      </c>
      <c r="M31" s="50">
        <v>6883.620899999999</v>
      </c>
      <c r="N31" s="50">
        <v>3971.35</v>
      </c>
      <c r="O31" s="50">
        <v>6711.5814999999993</v>
      </c>
      <c r="P31" s="50">
        <v>7267.5704999999998</v>
      </c>
      <c r="Q31" s="50">
        <v>7585.2784999999994</v>
      </c>
      <c r="R31" s="50">
        <v>5452.39</v>
      </c>
      <c r="S31" s="51">
        <v>9214.5391</v>
      </c>
      <c r="T31" s="51">
        <v>9977.8737000000001</v>
      </c>
      <c r="U31" s="51">
        <v>17599.769680999998</v>
      </c>
      <c r="V31" s="50">
        <v>7099.06</v>
      </c>
      <c r="W31" s="50">
        <v>11997.411400000001</v>
      </c>
      <c r="X31" s="50">
        <v>12991.279800000002</v>
      </c>
      <c r="Y31" s="50">
        <v>13559.204600000001</v>
      </c>
      <c r="Z31" s="50">
        <v>8223.69</v>
      </c>
      <c r="AA31" s="50">
        <v>13898.036100000001</v>
      </c>
      <c r="AB31" s="50">
        <v>15049.352700000001</v>
      </c>
      <c r="AC31" s="50">
        <v>15707.2479</v>
      </c>
      <c r="AD31" s="50">
        <v>8223.69</v>
      </c>
      <c r="AE31" s="50">
        <v>13898.036100000001</v>
      </c>
      <c r="AF31" s="50">
        <v>15049.352700000001</v>
      </c>
      <c r="AG31" s="50">
        <v>15707.2479</v>
      </c>
      <c r="AH31" s="50">
        <v>8375.67</v>
      </c>
      <c r="AI31" s="50">
        <v>14154.882299999999</v>
      </c>
      <c r="AJ31" s="50">
        <v>15327.4761</v>
      </c>
      <c r="AK31" s="50">
        <v>15997.529699999999</v>
      </c>
      <c r="AL31" s="50">
        <v>9087.83</v>
      </c>
      <c r="AM31" s="50">
        <v>15358.432699999999</v>
      </c>
      <c r="AN31" s="50">
        <v>16630.728900000002</v>
      </c>
      <c r="AO31" s="50">
        <v>17357.755300000001</v>
      </c>
      <c r="AP31" s="50">
        <v>10048.64</v>
      </c>
      <c r="AQ31" s="50">
        <v>16982.201599999997</v>
      </c>
      <c r="AR31" s="50">
        <v>18389.011200000001</v>
      </c>
      <c r="AS31" s="50">
        <v>19192.902399999999</v>
      </c>
      <c r="AT31" s="50">
        <v>10048.64</v>
      </c>
      <c r="AU31" s="50">
        <v>16982.201599999997</v>
      </c>
      <c r="AV31" s="50">
        <v>18389.011200000001</v>
      </c>
      <c r="AW31" s="50">
        <v>19192.902399999999</v>
      </c>
      <c r="AX31" s="50">
        <v>11532.42</v>
      </c>
      <c r="AY31" s="50">
        <v>19489.789799999999</v>
      </c>
      <c r="AZ31" s="50">
        <v>21104.328600000001</v>
      </c>
      <c r="BA31" s="50">
        <v>22026.922200000001</v>
      </c>
      <c r="BB31" s="50">
        <v>12243.23</v>
      </c>
      <c r="BC31" s="50">
        <v>20691.058699999998</v>
      </c>
      <c r="BD31" s="50">
        <v>22405.1109</v>
      </c>
      <c r="BE31" s="50">
        <v>23384.569299999999</v>
      </c>
      <c r="BF31" s="50">
        <v>13241.88</v>
      </c>
      <c r="BG31" s="50">
        <v>22378.777199999997</v>
      </c>
      <c r="BH31" s="50">
        <v>24232.6404</v>
      </c>
      <c r="BI31" s="50">
        <v>25291.990799999996</v>
      </c>
      <c r="BJ31" s="50">
        <v>13241.88</v>
      </c>
      <c r="BK31" s="52">
        <v>22378.777199999997</v>
      </c>
      <c r="BL31" s="52">
        <v>24232.6404</v>
      </c>
      <c r="BM31" s="52">
        <v>25291.990799999996</v>
      </c>
    </row>
    <row r="32" spans="1:65" ht="13.8">
      <c r="A32" s="46"/>
      <c r="B32" s="62"/>
      <c r="C32" s="62"/>
      <c r="D32" s="47" t="s">
        <v>75</v>
      </c>
      <c r="E32" s="48">
        <v>7000</v>
      </c>
      <c r="F32" s="50">
        <v>2563.62</v>
      </c>
      <c r="G32" s="50">
        <v>4332.5177999999996</v>
      </c>
      <c r="H32" s="50">
        <v>4691.4246000000003</v>
      </c>
      <c r="I32" s="51">
        <v>4896.5141999999996</v>
      </c>
      <c r="J32" s="50">
        <v>4014.04</v>
      </c>
      <c r="K32" s="50">
        <v>6783.7276000000002</v>
      </c>
      <c r="L32" s="50">
        <v>7345.6932000000006</v>
      </c>
      <c r="M32" s="50">
        <v>7666.8163999999997</v>
      </c>
      <c r="N32" s="50">
        <v>4431.3500000000004</v>
      </c>
      <c r="O32" s="50">
        <v>7488.9815000000008</v>
      </c>
      <c r="P32" s="50">
        <v>8109.3705000000009</v>
      </c>
      <c r="Q32" s="50">
        <v>8463.8785000000007</v>
      </c>
      <c r="R32" s="50">
        <v>5906.75</v>
      </c>
      <c r="S32" s="51">
        <v>9982.4074999999993</v>
      </c>
      <c r="T32" s="51">
        <v>10809.352500000001</v>
      </c>
      <c r="U32" s="51">
        <v>19066.398324999998</v>
      </c>
      <c r="V32" s="50">
        <v>7893.39</v>
      </c>
      <c r="W32" s="50">
        <v>13339.829100000001</v>
      </c>
      <c r="X32" s="50">
        <v>14444.903700000001</v>
      </c>
      <c r="Y32" s="50">
        <v>15076.374900000001</v>
      </c>
      <c r="Z32" s="50">
        <v>9217.82</v>
      </c>
      <c r="AA32" s="50">
        <v>15578.1158</v>
      </c>
      <c r="AB32" s="50">
        <v>16868.6106</v>
      </c>
      <c r="AC32" s="50">
        <v>17606.036199999999</v>
      </c>
      <c r="AD32" s="50">
        <v>9217.82</v>
      </c>
      <c r="AE32" s="50">
        <v>15578.1158</v>
      </c>
      <c r="AF32" s="50">
        <v>16868.6106</v>
      </c>
      <c r="AG32" s="50">
        <v>17606.036199999999</v>
      </c>
      <c r="AH32" s="50">
        <v>9335.1299999999992</v>
      </c>
      <c r="AI32" s="50">
        <v>15776.369699999997</v>
      </c>
      <c r="AJ32" s="50">
        <v>17083.287899999999</v>
      </c>
      <c r="AK32" s="50">
        <v>17830.098299999998</v>
      </c>
      <c r="AL32" s="50">
        <v>10159.450000000001</v>
      </c>
      <c r="AM32" s="50">
        <v>17169.470499999999</v>
      </c>
      <c r="AN32" s="50">
        <v>18591.793500000003</v>
      </c>
      <c r="AO32" s="50">
        <v>19404.549500000001</v>
      </c>
      <c r="AP32" s="50">
        <v>11312.15</v>
      </c>
      <c r="AQ32" s="50">
        <v>19117.533499999998</v>
      </c>
      <c r="AR32" s="50">
        <v>20701.234499999999</v>
      </c>
      <c r="AS32" s="50">
        <v>21606.206499999997</v>
      </c>
      <c r="AT32" s="50">
        <v>11312.15</v>
      </c>
      <c r="AU32" s="50">
        <v>19117.533499999998</v>
      </c>
      <c r="AV32" s="50">
        <v>20701.234499999999</v>
      </c>
      <c r="AW32" s="50">
        <v>21606.206499999997</v>
      </c>
      <c r="AX32" s="50">
        <v>12921.61</v>
      </c>
      <c r="AY32" s="50">
        <v>21837.5209</v>
      </c>
      <c r="AZ32" s="50">
        <v>23646.546300000002</v>
      </c>
      <c r="BA32" s="50">
        <v>24680.275099999999</v>
      </c>
      <c r="BB32" s="50">
        <v>13745.93</v>
      </c>
      <c r="BC32" s="50">
        <v>23230.6217</v>
      </c>
      <c r="BD32" s="50">
        <v>25155.051900000002</v>
      </c>
      <c r="BE32" s="50">
        <v>26254.726299999998</v>
      </c>
      <c r="BF32" s="50">
        <v>14241.88</v>
      </c>
      <c r="BG32" s="50">
        <v>24068.777199999997</v>
      </c>
      <c r="BH32" s="50">
        <v>26062.6404</v>
      </c>
      <c r="BI32" s="50">
        <v>27201.990799999996</v>
      </c>
      <c r="BJ32" s="50">
        <v>14241.88</v>
      </c>
      <c r="BK32" s="52">
        <v>24068.777199999997</v>
      </c>
      <c r="BL32" s="52">
        <v>26062.6404</v>
      </c>
      <c r="BM32" s="52">
        <v>27201.990799999996</v>
      </c>
    </row>
    <row r="33" spans="1:65" ht="13.8">
      <c r="A33" s="46"/>
      <c r="B33" s="62"/>
      <c r="C33" s="62"/>
      <c r="D33" s="47" t="s">
        <v>75</v>
      </c>
      <c r="E33" s="48">
        <v>8000</v>
      </c>
      <c r="F33" s="50">
        <v>2695.26</v>
      </c>
      <c r="G33" s="50">
        <v>4554.9894000000004</v>
      </c>
      <c r="H33" s="50">
        <v>4932.3258000000005</v>
      </c>
      <c r="I33" s="51">
        <v>5147.9466000000002</v>
      </c>
      <c r="J33" s="50">
        <v>4419.91</v>
      </c>
      <c r="K33" s="50">
        <v>7469.6478999999999</v>
      </c>
      <c r="L33" s="50">
        <v>8088.4353000000001</v>
      </c>
      <c r="M33" s="50">
        <v>8442.0280999999995</v>
      </c>
      <c r="N33" s="50">
        <v>4901.99</v>
      </c>
      <c r="O33" s="50">
        <v>8284.3630999999987</v>
      </c>
      <c r="P33" s="50">
        <v>8970.6417000000001</v>
      </c>
      <c r="Q33" s="50">
        <v>9362.8008999999984</v>
      </c>
      <c r="R33" s="50">
        <v>6475.51</v>
      </c>
      <c r="S33" s="51">
        <v>10943.6119</v>
      </c>
      <c r="T33" s="51">
        <v>11850.183300000001</v>
      </c>
      <c r="U33" s="51">
        <v>20902.298728999998</v>
      </c>
      <c r="V33" s="50">
        <v>8687.73</v>
      </c>
      <c r="W33" s="50">
        <v>14682.2637</v>
      </c>
      <c r="X33" s="50">
        <v>15898.545899999999</v>
      </c>
      <c r="Y33" s="50">
        <v>16593.564299999998</v>
      </c>
      <c r="Z33" s="50">
        <v>10197.44</v>
      </c>
      <c r="AA33" s="50">
        <v>17233.673600000002</v>
      </c>
      <c r="AB33" s="50">
        <v>18661.315200000001</v>
      </c>
      <c r="AC33" s="50">
        <v>19477.110400000001</v>
      </c>
      <c r="AD33" s="50">
        <v>10197.44</v>
      </c>
      <c r="AE33" s="50">
        <v>17233.673600000002</v>
      </c>
      <c r="AF33" s="50">
        <v>18661.315200000001</v>
      </c>
      <c r="AG33" s="50">
        <v>19477.110400000001</v>
      </c>
      <c r="AH33" s="50">
        <v>10279.719999999999</v>
      </c>
      <c r="AI33" s="50">
        <v>17372.726799999997</v>
      </c>
      <c r="AJ33" s="50">
        <v>18811.887599999998</v>
      </c>
      <c r="AK33" s="50">
        <v>19634.265199999998</v>
      </c>
      <c r="AL33" s="50">
        <v>11213.5</v>
      </c>
      <c r="AM33" s="50">
        <v>18950.814999999999</v>
      </c>
      <c r="AN33" s="50">
        <v>20520.705000000002</v>
      </c>
      <c r="AO33" s="50">
        <v>21417.785</v>
      </c>
      <c r="AP33" s="50">
        <v>12536.47</v>
      </c>
      <c r="AQ33" s="50">
        <v>21186.634299999998</v>
      </c>
      <c r="AR33" s="50">
        <v>22941.740099999999</v>
      </c>
      <c r="AS33" s="50">
        <v>23944.657699999996</v>
      </c>
      <c r="AT33" s="50">
        <v>12537.83</v>
      </c>
      <c r="AU33" s="50">
        <v>21188.932699999998</v>
      </c>
      <c r="AV33" s="50">
        <v>22944.228900000002</v>
      </c>
      <c r="AW33" s="50">
        <v>23947.255299999997</v>
      </c>
      <c r="AX33" s="50">
        <v>14270.26</v>
      </c>
      <c r="AY33" s="50">
        <v>24116.739399999999</v>
      </c>
      <c r="AZ33" s="50">
        <v>26114.575800000002</v>
      </c>
      <c r="BA33" s="50">
        <v>27256.196599999999</v>
      </c>
      <c r="BB33" s="50">
        <v>15205.39</v>
      </c>
      <c r="BC33" s="50">
        <v>25697.109099999998</v>
      </c>
      <c r="BD33" s="50">
        <v>27825.863700000002</v>
      </c>
      <c r="BE33" s="50">
        <v>29042.294899999997</v>
      </c>
      <c r="BF33" s="50">
        <v>15839.17</v>
      </c>
      <c r="BG33" s="50">
        <v>26768.1973</v>
      </c>
      <c r="BH33" s="50">
        <v>28985.681100000002</v>
      </c>
      <c r="BI33" s="50">
        <v>30252.814699999999</v>
      </c>
      <c r="BJ33" s="50">
        <v>15839.17</v>
      </c>
      <c r="BK33" s="52">
        <v>26768.1973</v>
      </c>
      <c r="BL33" s="52">
        <v>28985.681100000002</v>
      </c>
      <c r="BM33" s="52">
        <v>30252.814699999999</v>
      </c>
    </row>
    <row r="34" spans="1:65" ht="13.8">
      <c r="A34" s="46"/>
      <c r="B34" s="62"/>
      <c r="C34" s="62"/>
      <c r="D34" s="47" t="s">
        <v>75</v>
      </c>
      <c r="E34" s="48">
        <v>9000</v>
      </c>
      <c r="F34" s="50">
        <v>2917.61</v>
      </c>
      <c r="G34" s="50">
        <v>4930.7609000000002</v>
      </c>
      <c r="H34" s="50">
        <v>5339.2263000000003</v>
      </c>
      <c r="I34" s="51">
        <v>5572.6351000000004</v>
      </c>
      <c r="J34" s="50">
        <v>4836.09</v>
      </c>
      <c r="K34" s="50">
        <v>8172.9921000000004</v>
      </c>
      <c r="L34" s="50">
        <v>8850.0447000000004</v>
      </c>
      <c r="M34" s="50">
        <v>9236.9318999999996</v>
      </c>
      <c r="N34" s="50">
        <v>5363.93</v>
      </c>
      <c r="O34" s="50">
        <v>9065.0416999999998</v>
      </c>
      <c r="P34" s="50">
        <v>9815.9919000000009</v>
      </c>
      <c r="Q34" s="50">
        <v>10245.106299999999</v>
      </c>
      <c r="R34" s="50">
        <v>7158.67</v>
      </c>
      <c r="S34" s="51">
        <v>12098.1523</v>
      </c>
      <c r="T34" s="51">
        <v>13100.366100000001</v>
      </c>
      <c r="U34" s="51">
        <v>23107.470892999998</v>
      </c>
      <c r="V34" s="50">
        <v>9449.83</v>
      </c>
      <c r="W34" s="50">
        <v>15970.2127</v>
      </c>
      <c r="X34" s="50">
        <v>17293.188900000001</v>
      </c>
      <c r="Y34" s="50">
        <v>18049.175299999999</v>
      </c>
      <c r="Z34" s="50">
        <v>11180.29</v>
      </c>
      <c r="AA34" s="50">
        <v>18894.6901</v>
      </c>
      <c r="AB34" s="50">
        <v>20459.930700000001</v>
      </c>
      <c r="AC34" s="50">
        <v>21354.353900000002</v>
      </c>
      <c r="AD34" s="50">
        <v>11180.29</v>
      </c>
      <c r="AE34" s="50">
        <v>18894.6901</v>
      </c>
      <c r="AF34" s="50">
        <v>20459.930700000001</v>
      </c>
      <c r="AG34" s="50">
        <v>21354.353900000002</v>
      </c>
      <c r="AH34" s="50">
        <v>11217.56</v>
      </c>
      <c r="AI34" s="50">
        <v>18957.6764</v>
      </c>
      <c r="AJ34" s="50">
        <v>20528.1348</v>
      </c>
      <c r="AK34" s="50">
        <v>21425.539599999996</v>
      </c>
      <c r="AL34" s="50">
        <v>12254.04</v>
      </c>
      <c r="AM34" s="50">
        <v>20709.327600000001</v>
      </c>
      <c r="AN34" s="50">
        <v>22424.893200000002</v>
      </c>
      <c r="AO34" s="50">
        <v>23405.216400000001</v>
      </c>
      <c r="AP34" s="50">
        <v>13755.39</v>
      </c>
      <c r="AQ34" s="50">
        <v>23246.609099999998</v>
      </c>
      <c r="AR34" s="50">
        <v>25172.363700000002</v>
      </c>
      <c r="AS34" s="50">
        <v>26272.794899999997</v>
      </c>
      <c r="AT34" s="50">
        <v>13755.39</v>
      </c>
      <c r="AU34" s="50">
        <v>23246.609099999998</v>
      </c>
      <c r="AV34" s="50">
        <v>25172.363700000002</v>
      </c>
      <c r="AW34" s="50">
        <v>26272.794899999997</v>
      </c>
      <c r="AX34" s="50">
        <v>15602.69</v>
      </c>
      <c r="AY34" s="50">
        <v>26368.5461</v>
      </c>
      <c r="AZ34" s="50">
        <v>28552.922700000003</v>
      </c>
      <c r="BA34" s="50">
        <v>29801.137900000002</v>
      </c>
      <c r="BB34" s="50">
        <v>16637.82</v>
      </c>
      <c r="BC34" s="50">
        <v>28117.915799999999</v>
      </c>
      <c r="BD34" s="50">
        <v>30447.210600000002</v>
      </c>
      <c r="BE34" s="50">
        <v>31778.236199999999</v>
      </c>
      <c r="BF34" s="50">
        <v>17383.77</v>
      </c>
      <c r="BG34" s="50">
        <v>29378.5713</v>
      </c>
      <c r="BH34" s="50">
        <v>31812.299100000004</v>
      </c>
      <c r="BI34" s="50">
        <v>33203.000699999997</v>
      </c>
      <c r="BJ34" s="50">
        <v>17383.77</v>
      </c>
      <c r="BK34" s="52">
        <v>29378.5713</v>
      </c>
      <c r="BL34" s="52">
        <v>31812.299100000004</v>
      </c>
      <c r="BM34" s="52">
        <v>33203.000699999997</v>
      </c>
    </row>
    <row r="35" spans="1:65" ht="13.8">
      <c r="A35" s="46"/>
      <c r="B35" s="62"/>
      <c r="C35" s="62"/>
      <c r="D35" s="47" t="s">
        <v>75</v>
      </c>
      <c r="E35" s="48">
        <v>10000</v>
      </c>
      <c r="F35" s="50">
        <v>3182.17</v>
      </c>
      <c r="G35" s="51">
        <v>5377.8672999999999</v>
      </c>
      <c r="H35" s="51">
        <v>5823.3711000000003</v>
      </c>
      <c r="I35" s="51">
        <v>6077.9447</v>
      </c>
      <c r="J35" s="50">
        <v>5181.7</v>
      </c>
      <c r="K35" s="50">
        <v>8757.0730000000003</v>
      </c>
      <c r="L35" s="50">
        <v>9482.5110000000004</v>
      </c>
      <c r="M35" s="50">
        <v>9897.0469999999987</v>
      </c>
      <c r="N35" s="50">
        <v>6216.11</v>
      </c>
      <c r="O35" s="50">
        <v>10505.225899999999</v>
      </c>
      <c r="P35" s="50">
        <v>11375.481299999999</v>
      </c>
      <c r="Q35" s="50">
        <v>11872.7701</v>
      </c>
      <c r="R35" s="50">
        <v>8069.01</v>
      </c>
      <c r="S35" s="51">
        <v>13636.626899999999</v>
      </c>
      <c r="T35" s="51">
        <v>14766.2883</v>
      </c>
      <c r="U35" s="51">
        <v>26045.957378999996</v>
      </c>
      <c r="V35" s="50">
        <v>9701.19</v>
      </c>
      <c r="W35" s="50">
        <v>16395.0111</v>
      </c>
      <c r="X35" s="50">
        <v>17753.1777</v>
      </c>
      <c r="Y35" s="50">
        <v>18529.2729</v>
      </c>
      <c r="Z35" s="50">
        <v>11799</v>
      </c>
      <c r="AA35" s="50">
        <v>19940.309999999998</v>
      </c>
      <c r="AB35" s="50">
        <v>21592.170000000002</v>
      </c>
      <c r="AC35" s="50">
        <v>22536.09</v>
      </c>
      <c r="AD35" s="50">
        <v>12179.25</v>
      </c>
      <c r="AE35" s="50">
        <v>20582.932499999999</v>
      </c>
      <c r="AF35" s="50">
        <v>22288.0275</v>
      </c>
      <c r="AG35" s="50">
        <v>23262.3675</v>
      </c>
      <c r="AH35" s="50">
        <v>12155.39</v>
      </c>
      <c r="AI35" s="50">
        <v>20542.609099999998</v>
      </c>
      <c r="AJ35" s="50">
        <v>22244.363699999998</v>
      </c>
      <c r="AK35" s="50">
        <v>23216.794899999997</v>
      </c>
      <c r="AL35" s="50">
        <v>13183.77</v>
      </c>
      <c r="AM35" s="50">
        <v>22280.5713</v>
      </c>
      <c r="AN35" s="50">
        <v>24126.2991</v>
      </c>
      <c r="AO35" s="50">
        <v>25181.000700000001</v>
      </c>
      <c r="AP35" s="50">
        <v>15278.36</v>
      </c>
      <c r="AQ35" s="50">
        <v>25820.428400000001</v>
      </c>
      <c r="AR35" s="50">
        <v>27959.398800000003</v>
      </c>
      <c r="AS35" s="50">
        <v>29181.667600000001</v>
      </c>
      <c r="AT35" s="50">
        <v>15193.23</v>
      </c>
      <c r="AU35" s="50">
        <v>25676.558699999998</v>
      </c>
      <c r="AV35" s="50">
        <v>27803.6109</v>
      </c>
      <c r="AW35" s="50">
        <v>29019.069299999999</v>
      </c>
      <c r="AX35" s="50">
        <v>17081.060000000001</v>
      </c>
      <c r="AY35" s="50">
        <v>28866.991400000003</v>
      </c>
      <c r="AZ35" s="50">
        <v>31258.339800000005</v>
      </c>
      <c r="BA35" s="50">
        <v>32624.8246</v>
      </c>
      <c r="BB35" s="50">
        <v>18077.009999999998</v>
      </c>
      <c r="BC35" s="50">
        <v>30550.146899999996</v>
      </c>
      <c r="BD35" s="50">
        <v>33080.9283</v>
      </c>
      <c r="BE35" s="50">
        <v>34527.089099999997</v>
      </c>
      <c r="BF35" s="50">
        <v>19099.98</v>
      </c>
      <c r="BG35" s="50">
        <v>32278.966199999999</v>
      </c>
      <c r="BH35" s="50">
        <v>34952.963400000001</v>
      </c>
      <c r="BI35" s="50">
        <v>36480.961799999997</v>
      </c>
      <c r="BJ35" s="50">
        <v>19099.98</v>
      </c>
      <c r="BK35" s="52">
        <v>32278.966199999999</v>
      </c>
      <c r="BL35" s="52">
        <v>34952.963400000001</v>
      </c>
      <c r="BM35" s="52">
        <v>36480.961799999997</v>
      </c>
    </row>
    <row r="36" spans="1:65" ht="13.8">
      <c r="A36" s="46"/>
      <c r="B36" s="62"/>
      <c r="C36" s="62"/>
      <c r="D36" s="47" t="s">
        <v>75</v>
      </c>
      <c r="E36" s="48">
        <v>15000</v>
      </c>
      <c r="F36" s="50">
        <v>4343.0600000000004</v>
      </c>
      <c r="G36" s="50">
        <v>7339.7714000000005</v>
      </c>
      <c r="H36" s="50">
        <v>7947.7998000000007</v>
      </c>
      <c r="I36" s="51">
        <v>8295.2446</v>
      </c>
      <c r="J36" s="50">
        <v>7267.43</v>
      </c>
      <c r="K36" s="50">
        <v>12281.956700000001</v>
      </c>
      <c r="L36" s="50">
        <v>13299.396900000002</v>
      </c>
      <c r="M36" s="50">
        <v>13880.791300000001</v>
      </c>
      <c r="N36" s="50">
        <v>8582.19</v>
      </c>
      <c r="O36" s="50">
        <v>14503.901100000001</v>
      </c>
      <c r="P36" s="50">
        <v>15705.407700000002</v>
      </c>
      <c r="Q36" s="50">
        <v>16391.982899999999</v>
      </c>
      <c r="R36" s="50">
        <v>11246.35</v>
      </c>
      <c r="S36" s="51">
        <v>19006.3315</v>
      </c>
      <c r="T36" s="51">
        <v>20580.820500000002</v>
      </c>
      <c r="U36" s="51">
        <v>36302.093164999998</v>
      </c>
      <c r="V36" s="50">
        <v>13900.04</v>
      </c>
      <c r="W36" s="50">
        <v>23491.067600000002</v>
      </c>
      <c r="X36" s="50">
        <v>25437.073200000003</v>
      </c>
      <c r="Y36" s="50">
        <v>26549.076400000002</v>
      </c>
      <c r="Z36" s="50">
        <v>16563.39</v>
      </c>
      <c r="AA36" s="50">
        <v>27992.129099999998</v>
      </c>
      <c r="AB36" s="50">
        <v>30311.003700000001</v>
      </c>
      <c r="AC36" s="50">
        <v>31636.074899999996</v>
      </c>
      <c r="AD36" s="50">
        <v>17961.939999999999</v>
      </c>
      <c r="AE36" s="50">
        <v>30355.678599999996</v>
      </c>
      <c r="AF36" s="50">
        <v>32870.350200000001</v>
      </c>
      <c r="AG36" s="50">
        <v>34307.305399999997</v>
      </c>
      <c r="AH36" s="50">
        <v>15529.71</v>
      </c>
      <c r="AI36" s="50">
        <v>26245.209899999998</v>
      </c>
      <c r="AJ36" s="50">
        <v>28419.369299999998</v>
      </c>
      <c r="AK36" s="50">
        <v>29661.746099999997</v>
      </c>
      <c r="AL36" s="50">
        <v>16763.5</v>
      </c>
      <c r="AM36" s="50">
        <v>28330.314999999999</v>
      </c>
      <c r="AN36" s="50">
        <v>30677.205000000002</v>
      </c>
      <c r="AO36" s="50">
        <v>32018.285</v>
      </c>
      <c r="AP36" s="50">
        <v>82678.820000000007</v>
      </c>
      <c r="AQ36" s="50">
        <v>139727.2058</v>
      </c>
      <c r="AR36" s="50">
        <v>151302.24060000002</v>
      </c>
      <c r="AS36" s="50">
        <v>157916.54620000001</v>
      </c>
      <c r="AT36" s="50">
        <v>20281.060000000001</v>
      </c>
      <c r="AU36" s="50">
        <v>34274.991399999999</v>
      </c>
      <c r="AV36" s="50">
        <v>37114.339800000002</v>
      </c>
      <c r="AW36" s="50">
        <v>38736.8246</v>
      </c>
      <c r="AX36" s="50">
        <v>20567.55</v>
      </c>
      <c r="AY36" s="50">
        <v>34759.159499999994</v>
      </c>
      <c r="AZ36" s="50">
        <v>37638.616500000004</v>
      </c>
      <c r="BA36" s="50">
        <v>39284.020499999999</v>
      </c>
      <c r="BB36" s="50">
        <v>22831.06</v>
      </c>
      <c r="BC36" s="50">
        <v>38584.491399999999</v>
      </c>
      <c r="BD36" s="50">
        <v>41780.839800000002</v>
      </c>
      <c r="BE36" s="50">
        <v>43607.3246</v>
      </c>
      <c r="BF36" s="50">
        <v>28378.35</v>
      </c>
      <c r="BG36" s="50">
        <v>47959.411499999995</v>
      </c>
      <c r="BH36" s="50">
        <v>51932.380499999999</v>
      </c>
      <c r="BI36" s="50">
        <v>54202.648499999996</v>
      </c>
      <c r="BJ36" s="50">
        <v>28378.35</v>
      </c>
      <c r="BK36" s="52">
        <v>47959.411499999995</v>
      </c>
      <c r="BL36" s="52">
        <v>51932.380499999999</v>
      </c>
      <c r="BM36" s="52">
        <v>54202.648499999996</v>
      </c>
    </row>
    <row r="37" spans="1:65" ht="13.8">
      <c r="A37" s="46"/>
      <c r="B37" s="62"/>
      <c r="C37" s="62"/>
      <c r="D37" s="47" t="s">
        <v>75</v>
      </c>
      <c r="E37" s="48">
        <v>20000</v>
      </c>
      <c r="F37" s="50">
        <v>5439.5</v>
      </c>
      <c r="G37" s="50">
        <v>9192.7549999999992</v>
      </c>
      <c r="H37" s="50">
        <v>9954.2849999999999</v>
      </c>
      <c r="I37" s="51">
        <v>10389.445</v>
      </c>
      <c r="J37" s="50">
        <v>9303.2099999999991</v>
      </c>
      <c r="K37" s="50">
        <v>15722.424899999998</v>
      </c>
      <c r="L37" s="50">
        <v>17024.874299999999</v>
      </c>
      <c r="M37" s="50">
        <v>17769.131099999999</v>
      </c>
      <c r="N37" s="50">
        <v>10898.33</v>
      </c>
      <c r="O37" s="50">
        <v>18418.1777</v>
      </c>
      <c r="P37" s="50">
        <v>19943.943900000002</v>
      </c>
      <c r="Q37" s="50">
        <v>20815.810299999997</v>
      </c>
      <c r="R37" s="50">
        <v>14356.01</v>
      </c>
      <c r="S37" s="51">
        <v>24261.656899999998</v>
      </c>
      <c r="T37" s="51">
        <v>26271.498300000003</v>
      </c>
      <c r="U37" s="51">
        <v>46339.764678999993</v>
      </c>
      <c r="V37" s="50">
        <v>17816.93</v>
      </c>
      <c r="W37" s="50">
        <v>30110.611700000001</v>
      </c>
      <c r="X37" s="50">
        <v>32604.981900000002</v>
      </c>
      <c r="Y37" s="50">
        <v>34030.336300000003</v>
      </c>
      <c r="Z37" s="50">
        <v>21145.72</v>
      </c>
      <c r="AA37" s="50">
        <v>35736.266799999998</v>
      </c>
      <c r="AB37" s="50">
        <v>38696.667600000001</v>
      </c>
      <c r="AC37" s="50">
        <v>40388.325199999999</v>
      </c>
      <c r="AD37" s="50">
        <v>22508.81</v>
      </c>
      <c r="AE37" s="50">
        <v>38039.888899999998</v>
      </c>
      <c r="AF37" s="50">
        <v>41191.122300000003</v>
      </c>
      <c r="AG37" s="50">
        <v>42991.827100000002</v>
      </c>
      <c r="AH37" s="50">
        <v>19899.98</v>
      </c>
      <c r="AI37" s="50">
        <v>33630.966199999995</v>
      </c>
      <c r="AJ37" s="50">
        <v>36416.963400000001</v>
      </c>
      <c r="AK37" s="50">
        <v>38008.961799999997</v>
      </c>
      <c r="AL37" s="50">
        <v>21454.03</v>
      </c>
      <c r="AM37" s="50">
        <v>36257.310699999995</v>
      </c>
      <c r="AN37" s="50">
        <v>39260.874900000003</v>
      </c>
      <c r="AO37" s="50">
        <v>40977.197299999993</v>
      </c>
      <c r="AP37" s="50">
        <v>26817.54</v>
      </c>
      <c r="AQ37" s="50">
        <v>45321.642599999999</v>
      </c>
      <c r="AR37" s="50">
        <v>49076.0982</v>
      </c>
      <c r="AS37" s="50">
        <v>51221.501400000001</v>
      </c>
      <c r="AT37" s="50">
        <v>26817.54</v>
      </c>
      <c r="AU37" s="50">
        <v>45321.642599999999</v>
      </c>
      <c r="AV37" s="50">
        <v>49076.0982</v>
      </c>
      <c r="AW37" s="50">
        <v>51221.501400000001</v>
      </c>
      <c r="AX37" s="50">
        <v>27006.73</v>
      </c>
      <c r="AY37" s="50">
        <v>45641.373699999996</v>
      </c>
      <c r="AZ37" s="50">
        <v>49422.315900000001</v>
      </c>
      <c r="BA37" s="50">
        <v>51582.854299999999</v>
      </c>
      <c r="BB37" s="50">
        <v>28506.73</v>
      </c>
      <c r="BC37" s="50">
        <v>48176.373699999996</v>
      </c>
      <c r="BD37" s="50">
        <v>52167.315900000001</v>
      </c>
      <c r="BE37" s="50">
        <v>54447.854299999999</v>
      </c>
      <c r="BF37" s="50">
        <v>36506.720000000001</v>
      </c>
      <c r="BG37" s="50">
        <v>61696.356800000001</v>
      </c>
      <c r="BH37" s="50">
        <v>66807.297600000005</v>
      </c>
      <c r="BI37" s="50">
        <v>69727.835200000001</v>
      </c>
      <c r="BJ37" s="50">
        <v>36506.720000000001</v>
      </c>
      <c r="BK37" s="52">
        <v>61696.356800000001</v>
      </c>
      <c r="BL37" s="52">
        <v>66807.297600000005</v>
      </c>
      <c r="BM37" s="52">
        <v>69727.835200000001</v>
      </c>
    </row>
    <row r="38" spans="1:65" ht="13.8">
      <c r="A38" s="46"/>
      <c r="B38" s="62"/>
      <c r="C38" s="62"/>
      <c r="D38" s="47" t="s">
        <v>75</v>
      </c>
      <c r="E38" s="48">
        <v>25000</v>
      </c>
      <c r="F38" s="50">
        <v>6601.99</v>
      </c>
      <c r="G38" s="51">
        <v>11157.363099999999</v>
      </c>
      <c r="H38" s="51">
        <v>12081.6417</v>
      </c>
      <c r="I38" s="51">
        <v>12609.800899999998</v>
      </c>
      <c r="J38" s="50">
        <v>11375.25</v>
      </c>
      <c r="K38" s="50">
        <v>19224.172500000001</v>
      </c>
      <c r="L38" s="50">
        <v>20816.7075</v>
      </c>
      <c r="M38" s="50">
        <v>21726.727500000001</v>
      </c>
      <c r="N38" s="50">
        <v>13651.1</v>
      </c>
      <c r="O38" s="50">
        <v>23070.359</v>
      </c>
      <c r="P38" s="50">
        <v>24981.513000000003</v>
      </c>
      <c r="Q38" s="50">
        <v>26073.600999999999</v>
      </c>
      <c r="R38" s="50">
        <v>17425.400000000001</v>
      </c>
      <c r="S38" s="51">
        <v>29448.926000000003</v>
      </c>
      <c r="T38" s="51">
        <v>31888.482000000004</v>
      </c>
      <c r="U38" s="51">
        <v>56247.448660000002</v>
      </c>
      <c r="V38" s="50">
        <v>21670.98</v>
      </c>
      <c r="W38" s="50">
        <v>36623.956200000001</v>
      </c>
      <c r="X38" s="50">
        <v>39657.893400000001</v>
      </c>
      <c r="Y38" s="50">
        <v>41391.571799999998</v>
      </c>
      <c r="Z38" s="50">
        <v>25900.44</v>
      </c>
      <c r="AA38" s="50">
        <v>43771.743599999994</v>
      </c>
      <c r="AB38" s="50">
        <v>47397.805200000003</v>
      </c>
      <c r="AC38" s="50">
        <v>49469.840399999994</v>
      </c>
      <c r="AD38" s="50">
        <v>27060.52</v>
      </c>
      <c r="AE38" s="50">
        <v>45732.2788</v>
      </c>
      <c r="AF38" s="50">
        <v>49520.751600000003</v>
      </c>
      <c r="AG38" s="50">
        <v>51685.593199999996</v>
      </c>
      <c r="AH38" s="50">
        <v>24222.95</v>
      </c>
      <c r="AI38" s="50">
        <v>40936.785499999998</v>
      </c>
      <c r="AJ38" s="50">
        <v>44327.998500000002</v>
      </c>
      <c r="AK38" s="50">
        <v>46265.834499999997</v>
      </c>
      <c r="AL38" s="50">
        <v>26817.54</v>
      </c>
      <c r="AM38" s="50">
        <v>45321.642599999999</v>
      </c>
      <c r="AN38" s="50">
        <v>49076.0982</v>
      </c>
      <c r="AO38" s="50">
        <v>51221.501400000001</v>
      </c>
      <c r="AP38" s="50">
        <v>32290.51</v>
      </c>
      <c r="AQ38" s="50">
        <v>54570.961899999995</v>
      </c>
      <c r="AR38" s="50">
        <v>59091.633300000001</v>
      </c>
      <c r="AS38" s="50">
        <v>61674.874099999994</v>
      </c>
      <c r="AT38" s="50">
        <v>32290.51</v>
      </c>
      <c r="AU38" s="50">
        <v>54570.961899999995</v>
      </c>
      <c r="AV38" s="50">
        <v>59091.633300000001</v>
      </c>
      <c r="AW38" s="50">
        <v>61674.874099999994</v>
      </c>
      <c r="AX38" s="50">
        <v>32641.86</v>
      </c>
      <c r="AY38" s="50">
        <v>55164.743399999999</v>
      </c>
      <c r="AZ38" s="50">
        <v>59734.603800000004</v>
      </c>
      <c r="BA38" s="50">
        <v>62345.952599999997</v>
      </c>
      <c r="BB38" s="50">
        <v>33925.64</v>
      </c>
      <c r="BC38" s="50">
        <v>57334.331599999998</v>
      </c>
      <c r="BD38" s="50">
        <v>62083.921200000004</v>
      </c>
      <c r="BE38" s="50">
        <v>64797.972399999999</v>
      </c>
      <c r="BF38" s="50">
        <v>35141.86</v>
      </c>
      <c r="BG38" s="50">
        <v>59389.743399999999</v>
      </c>
      <c r="BH38" s="50">
        <v>64309.603800000004</v>
      </c>
      <c r="BI38" s="50">
        <v>67120.952600000004</v>
      </c>
      <c r="BJ38" s="50">
        <v>35141.86</v>
      </c>
      <c r="BK38" s="52">
        <v>59389.743399999999</v>
      </c>
      <c r="BL38" s="52">
        <v>64309.603800000004</v>
      </c>
      <c r="BM38" s="52">
        <v>67120.952600000004</v>
      </c>
    </row>
    <row r="44" spans="1:65" ht="15.6">
      <c r="B44" s="42" t="s">
        <v>0</v>
      </c>
      <c r="C44" s="42" t="s">
        <v>1</v>
      </c>
      <c r="E44" s="53" t="s">
        <v>70</v>
      </c>
      <c r="F44" s="53" t="s">
        <v>54</v>
      </c>
      <c r="G44" s="53" t="s">
        <v>55</v>
      </c>
      <c r="H44" s="53" t="s">
        <v>56</v>
      </c>
      <c r="I44" s="53" t="s">
        <v>57</v>
      </c>
      <c r="J44" s="53" t="s">
        <v>58</v>
      </c>
      <c r="K44" s="53" t="s">
        <v>59</v>
      </c>
      <c r="L44" s="53" t="s">
        <v>60</v>
      </c>
      <c r="M44" s="53" t="s">
        <v>61</v>
      </c>
      <c r="N44" s="53" t="s">
        <v>62</v>
      </c>
      <c r="O44" s="53" t="s">
        <v>63</v>
      </c>
      <c r="P44" s="53" t="s">
        <v>64</v>
      </c>
      <c r="Q44" s="53" t="s">
        <v>65</v>
      </c>
      <c r="R44" s="53" t="s">
        <v>66</v>
      </c>
      <c r="S44" s="53" t="s">
        <v>67</v>
      </c>
      <c r="T44" s="53" t="s">
        <v>68</v>
      </c>
    </row>
    <row r="45" spans="1:65" ht="13.8">
      <c r="B45" s="72" t="s">
        <v>74</v>
      </c>
      <c r="C45" s="72" t="s">
        <v>37</v>
      </c>
      <c r="D45" s="54" t="s">
        <v>76</v>
      </c>
      <c r="E45" s="55">
        <v>5</v>
      </c>
      <c r="F45" s="56">
        <v>48.37</v>
      </c>
      <c r="G45" s="56">
        <v>77.959999999999994</v>
      </c>
      <c r="H45" s="56">
        <v>93.56</v>
      </c>
      <c r="I45" s="56">
        <v>109.15</v>
      </c>
      <c r="J45" s="56">
        <v>125</v>
      </c>
      <c r="K45" s="56">
        <v>153.85</v>
      </c>
      <c r="L45" s="56">
        <v>202.7</v>
      </c>
      <c r="M45" s="56">
        <v>225.57</v>
      </c>
      <c r="N45" s="56">
        <v>240.12</v>
      </c>
      <c r="O45" s="56">
        <v>269.23</v>
      </c>
      <c r="P45" s="56">
        <v>283.77999999999997</v>
      </c>
      <c r="Q45" s="56">
        <v>327.44</v>
      </c>
      <c r="R45" s="56">
        <v>414.76</v>
      </c>
      <c r="S45" s="56">
        <v>429.31</v>
      </c>
      <c r="T45" s="56">
        <v>465.7</v>
      </c>
    </row>
    <row r="46" spans="1:65" ht="13.8">
      <c r="B46" s="62"/>
      <c r="C46" s="62"/>
      <c r="D46" s="54" t="s">
        <v>76</v>
      </c>
      <c r="E46" s="55">
        <v>10</v>
      </c>
      <c r="F46" s="56">
        <v>52.88</v>
      </c>
      <c r="G46" s="56">
        <v>107.6</v>
      </c>
      <c r="H46" s="56">
        <v>115.38</v>
      </c>
      <c r="I46" s="56">
        <v>134.62</v>
      </c>
      <c r="J46" s="56">
        <v>153.85</v>
      </c>
      <c r="K46" s="56">
        <v>173.08</v>
      </c>
      <c r="L46" s="56">
        <v>278.85000000000002</v>
      </c>
      <c r="M46" s="56">
        <v>261.95</v>
      </c>
      <c r="N46" s="56">
        <v>269.23</v>
      </c>
      <c r="O46" s="56">
        <v>298.33999999999997</v>
      </c>
      <c r="P46" s="56">
        <v>312.89</v>
      </c>
      <c r="Q46" s="56">
        <v>356.55</v>
      </c>
      <c r="R46" s="56">
        <v>443.87</v>
      </c>
      <c r="S46" s="56">
        <v>458.42</v>
      </c>
      <c r="T46" s="56">
        <v>531.17999999999995</v>
      </c>
    </row>
    <row r="47" spans="1:65" ht="13.8">
      <c r="B47" s="62"/>
      <c r="C47" s="62"/>
      <c r="D47" s="54" t="s">
        <v>76</v>
      </c>
      <c r="E47" s="55">
        <v>15</v>
      </c>
      <c r="F47" s="56">
        <v>72.12</v>
      </c>
      <c r="G47" s="56">
        <v>126.63</v>
      </c>
      <c r="H47" s="56">
        <v>158.65</v>
      </c>
      <c r="I47" s="56">
        <v>187.5</v>
      </c>
      <c r="J47" s="56">
        <v>221.15</v>
      </c>
      <c r="K47" s="56">
        <v>230.77</v>
      </c>
      <c r="L47" s="56">
        <v>317.31</v>
      </c>
      <c r="M47" s="56">
        <v>342</v>
      </c>
      <c r="N47" s="56">
        <v>302.7</v>
      </c>
      <c r="O47" s="56">
        <v>349.27</v>
      </c>
      <c r="P47" s="56">
        <v>363.83</v>
      </c>
      <c r="Q47" s="56">
        <v>429.31</v>
      </c>
      <c r="R47" s="56">
        <v>516.63</v>
      </c>
      <c r="S47" s="56">
        <v>531.17999999999995</v>
      </c>
      <c r="T47" s="56">
        <v>560.29</v>
      </c>
    </row>
    <row r="48" spans="1:65" ht="13.8">
      <c r="B48" s="62"/>
      <c r="C48" s="62"/>
      <c r="D48" s="54" t="s">
        <v>76</v>
      </c>
      <c r="E48" s="55">
        <v>20</v>
      </c>
      <c r="F48" s="56">
        <v>86.54</v>
      </c>
      <c r="G48" s="56">
        <v>145</v>
      </c>
      <c r="H48" s="56">
        <v>192.31</v>
      </c>
      <c r="I48" s="56">
        <v>230.77</v>
      </c>
      <c r="J48" s="56">
        <v>269.23</v>
      </c>
      <c r="K48" s="56">
        <v>298.08</v>
      </c>
      <c r="L48" s="56">
        <v>346.15</v>
      </c>
      <c r="M48" s="56">
        <v>407.48</v>
      </c>
      <c r="N48" s="56">
        <v>385.65</v>
      </c>
      <c r="O48" s="56">
        <v>436.59</v>
      </c>
      <c r="P48" s="56">
        <v>451.14</v>
      </c>
      <c r="Q48" s="56">
        <v>502.08</v>
      </c>
      <c r="R48" s="56">
        <v>560.29</v>
      </c>
      <c r="S48" s="56">
        <v>574.84</v>
      </c>
      <c r="T48" s="56">
        <v>596.66999999999996</v>
      </c>
    </row>
    <row r="49" spans="2:20" ht="13.8">
      <c r="B49" s="62"/>
      <c r="C49" s="62"/>
      <c r="D49" s="54" t="s">
        <v>76</v>
      </c>
      <c r="E49" s="55">
        <v>25</v>
      </c>
      <c r="F49" s="56">
        <v>114</v>
      </c>
      <c r="G49" s="56">
        <v>165.58</v>
      </c>
      <c r="H49" s="56">
        <v>214.44</v>
      </c>
      <c r="I49" s="56">
        <v>267.31</v>
      </c>
      <c r="J49" s="56">
        <v>313.45999999999998</v>
      </c>
      <c r="K49" s="56">
        <v>361.54</v>
      </c>
      <c r="L49" s="56">
        <v>413.46</v>
      </c>
      <c r="M49" s="56">
        <v>442.41</v>
      </c>
      <c r="N49" s="56">
        <v>471.52</v>
      </c>
      <c r="O49" s="56">
        <v>500.62</v>
      </c>
      <c r="P49" s="56">
        <v>528.27</v>
      </c>
      <c r="Q49" s="56">
        <v>557.38</v>
      </c>
      <c r="R49" s="56">
        <v>586.49</v>
      </c>
      <c r="S49" s="56">
        <v>614.14</v>
      </c>
      <c r="T49" s="56">
        <v>643.24</v>
      </c>
    </row>
    <row r="50" spans="2:20" ht="13.8">
      <c r="B50" s="62"/>
      <c r="C50" s="62"/>
      <c r="D50" s="54" t="s">
        <v>76</v>
      </c>
      <c r="E50" s="55">
        <v>50</v>
      </c>
      <c r="F50" s="56">
        <v>184.58</v>
      </c>
      <c r="G50" s="56">
        <v>260.58</v>
      </c>
      <c r="H50" s="56">
        <v>339.31</v>
      </c>
      <c r="I50" s="56">
        <v>415.38</v>
      </c>
      <c r="J50" s="56">
        <v>494.23</v>
      </c>
      <c r="K50" s="56">
        <v>571.15</v>
      </c>
      <c r="L50" s="56">
        <v>650</v>
      </c>
      <c r="M50" s="56">
        <v>627.23</v>
      </c>
      <c r="N50" s="56">
        <v>676.71</v>
      </c>
      <c r="O50" s="56">
        <v>724.74</v>
      </c>
      <c r="P50" s="56">
        <v>774.22</v>
      </c>
      <c r="Q50" s="56">
        <v>823.7</v>
      </c>
      <c r="R50" s="56">
        <v>871.72</v>
      </c>
      <c r="S50" s="56">
        <v>921.2</v>
      </c>
      <c r="T50" s="56">
        <v>970.69</v>
      </c>
    </row>
    <row r="51" spans="2:20" ht="13.8">
      <c r="B51" s="62"/>
      <c r="C51" s="62"/>
      <c r="D51" s="54" t="s">
        <v>76</v>
      </c>
      <c r="E51" s="55">
        <v>75</v>
      </c>
      <c r="F51" s="56">
        <v>317.58</v>
      </c>
      <c r="G51" s="56">
        <v>447.88</v>
      </c>
      <c r="H51" s="56">
        <v>570.04</v>
      </c>
      <c r="I51" s="56">
        <v>703.85</v>
      </c>
      <c r="J51" s="56">
        <v>794.23</v>
      </c>
      <c r="K51" s="56">
        <v>888.46</v>
      </c>
      <c r="L51" s="56">
        <v>980.77</v>
      </c>
      <c r="M51" s="56">
        <v>810.6</v>
      </c>
      <c r="N51" s="56">
        <v>880.46</v>
      </c>
      <c r="O51" s="56">
        <v>950.31</v>
      </c>
      <c r="P51" s="56">
        <v>1020.17</v>
      </c>
      <c r="Q51" s="56">
        <v>1088.56</v>
      </c>
      <c r="R51" s="56">
        <v>1158.42</v>
      </c>
      <c r="S51" s="56">
        <v>1228.27</v>
      </c>
      <c r="T51" s="56">
        <v>1298.1300000000001</v>
      </c>
    </row>
    <row r="52" spans="2:20" ht="13.8">
      <c r="B52" s="62"/>
      <c r="C52" s="62"/>
      <c r="D52" s="54" t="s">
        <v>76</v>
      </c>
      <c r="E52" s="55">
        <v>100</v>
      </c>
      <c r="F52" s="56">
        <v>323.02</v>
      </c>
      <c r="G52" s="56">
        <v>456.02</v>
      </c>
      <c r="H52" s="56">
        <v>589.02</v>
      </c>
      <c r="I52" s="56">
        <v>723.08</v>
      </c>
      <c r="J52" s="56">
        <v>855.77</v>
      </c>
      <c r="K52" s="56">
        <v>992.31</v>
      </c>
      <c r="L52" s="56">
        <v>1125</v>
      </c>
      <c r="M52" s="56">
        <v>995.43</v>
      </c>
      <c r="N52" s="56">
        <v>1084.2</v>
      </c>
      <c r="O52" s="56">
        <v>1174.43</v>
      </c>
      <c r="P52" s="56">
        <v>1264.6600000000001</v>
      </c>
      <c r="Q52" s="56">
        <v>1354.88</v>
      </c>
      <c r="R52" s="56">
        <v>1445.11</v>
      </c>
      <c r="S52" s="56">
        <v>1533.89</v>
      </c>
      <c r="T52" s="56">
        <v>1624.11</v>
      </c>
    </row>
    <row r="53" spans="2:20" ht="13.8">
      <c r="B53" s="62"/>
      <c r="C53" s="62"/>
      <c r="D53" s="54" t="s">
        <v>76</v>
      </c>
      <c r="E53" s="55">
        <v>150</v>
      </c>
      <c r="F53" s="56">
        <v>432.69</v>
      </c>
      <c r="G53" s="56">
        <v>623.08000000000004</v>
      </c>
      <c r="H53" s="56">
        <v>700.38</v>
      </c>
      <c r="I53" s="56">
        <v>1084.6099999999999</v>
      </c>
      <c r="J53" s="56">
        <v>1283.6500000000001</v>
      </c>
      <c r="K53" s="56">
        <v>1486.54</v>
      </c>
      <c r="L53" s="56">
        <v>1688.46</v>
      </c>
      <c r="M53" s="56">
        <v>1474.22</v>
      </c>
      <c r="N53" s="56">
        <v>1625.57</v>
      </c>
      <c r="O53" s="56">
        <v>1686.69</v>
      </c>
      <c r="P53" s="56">
        <v>1899.17</v>
      </c>
      <c r="Q53" s="56">
        <v>2008.31</v>
      </c>
      <c r="R53" s="56">
        <v>2102.91</v>
      </c>
      <c r="S53" s="56">
        <v>2182.9499999999998</v>
      </c>
      <c r="T53" s="56">
        <v>2401.25</v>
      </c>
    </row>
    <row r="54" spans="2:20" ht="13.8">
      <c r="B54" s="62"/>
      <c r="C54" s="62"/>
      <c r="D54" s="54" t="s">
        <v>76</v>
      </c>
      <c r="E54" s="55">
        <v>200</v>
      </c>
      <c r="F54" s="56">
        <v>599.88</v>
      </c>
      <c r="G54" s="56">
        <v>844.19</v>
      </c>
      <c r="H54" s="56">
        <v>1092.31</v>
      </c>
      <c r="I54" s="56">
        <v>1336.54</v>
      </c>
      <c r="J54" s="56">
        <v>1411.54</v>
      </c>
      <c r="K54" s="56">
        <v>1830.77</v>
      </c>
      <c r="L54" s="56">
        <v>2075</v>
      </c>
      <c r="M54" s="56">
        <v>1855.51</v>
      </c>
      <c r="N54" s="56">
        <v>2050.52</v>
      </c>
      <c r="O54" s="56">
        <v>2054.88</v>
      </c>
      <c r="P54" s="56">
        <v>2209.15</v>
      </c>
      <c r="Q54" s="56">
        <v>2260.08</v>
      </c>
      <c r="R54" s="56">
        <v>2465.2800000000002</v>
      </c>
      <c r="S54" s="56">
        <v>2670.48</v>
      </c>
      <c r="T54" s="56">
        <v>2773.8</v>
      </c>
    </row>
    <row r="55" spans="2:20" ht="13.8">
      <c r="B55" s="62"/>
      <c r="C55" s="62"/>
      <c r="D55" s="54" t="s">
        <v>76</v>
      </c>
      <c r="E55" s="55">
        <v>250</v>
      </c>
      <c r="F55" s="56">
        <v>719.33</v>
      </c>
      <c r="G55" s="56">
        <v>950.04</v>
      </c>
      <c r="H55" s="56">
        <v>1167.21</v>
      </c>
      <c r="I55" s="56">
        <v>1384.61</v>
      </c>
      <c r="J55" s="56">
        <v>1628.84</v>
      </c>
      <c r="K55" s="56">
        <v>1928.84</v>
      </c>
      <c r="L55" s="56">
        <v>2173.0700000000002</v>
      </c>
      <c r="M55" s="56">
        <v>2129.1</v>
      </c>
      <c r="N55" s="56">
        <v>2341.58</v>
      </c>
      <c r="O55" s="56">
        <v>2201.87</v>
      </c>
      <c r="P55" s="56">
        <v>2382.33</v>
      </c>
      <c r="Q55" s="56">
        <v>2562.7800000000002</v>
      </c>
      <c r="R55" s="56">
        <v>2743.24</v>
      </c>
      <c r="S55" s="56">
        <v>2923.7</v>
      </c>
      <c r="T55" s="56">
        <v>3104.15</v>
      </c>
    </row>
    <row r="56" spans="2:20" ht="13.8">
      <c r="B56" s="62"/>
      <c r="C56" s="62"/>
      <c r="D56" s="54" t="s">
        <v>76</v>
      </c>
      <c r="E56" s="55">
        <v>300</v>
      </c>
      <c r="F56" s="56">
        <v>778.85</v>
      </c>
      <c r="G56" s="56">
        <v>1096.1500000000001</v>
      </c>
      <c r="H56" s="56">
        <v>1396.15</v>
      </c>
      <c r="I56" s="56">
        <v>1661.54</v>
      </c>
      <c r="J56" s="56">
        <v>1953.84</v>
      </c>
      <c r="K56" s="56">
        <v>2315.38</v>
      </c>
      <c r="L56" s="56">
        <v>2607.69</v>
      </c>
      <c r="M56" s="56">
        <v>2554.0500000000002</v>
      </c>
      <c r="N56" s="56">
        <v>2612.2600000000002</v>
      </c>
      <c r="O56" s="56">
        <v>2641.37</v>
      </c>
      <c r="P56" s="56">
        <v>2859.66</v>
      </c>
      <c r="Q56" s="56">
        <v>3056.13</v>
      </c>
      <c r="R56" s="56">
        <v>3274.43</v>
      </c>
      <c r="S56" s="56">
        <v>3507.27</v>
      </c>
      <c r="T56" s="56">
        <v>3711.02</v>
      </c>
    </row>
    <row r="57" spans="2:20" ht="13.8">
      <c r="B57" s="62"/>
      <c r="C57" s="62"/>
      <c r="D57" s="54" t="s">
        <v>76</v>
      </c>
      <c r="E57" s="55">
        <v>350</v>
      </c>
      <c r="F57" s="56">
        <v>888.46</v>
      </c>
      <c r="G57" s="56">
        <v>1245.19</v>
      </c>
      <c r="H57" s="56">
        <v>1628.84</v>
      </c>
      <c r="I57" s="56">
        <v>1938.46</v>
      </c>
      <c r="J57" s="56">
        <v>2254.81</v>
      </c>
      <c r="K57" s="56">
        <v>2692.31</v>
      </c>
      <c r="L57" s="56">
        <v>2996.15</v>
      </c>
      <c r="M57" s="56">
        <v>2954.26</v>
      </c>
      <c r="N57" s="56">
        <v>2692.31</v>
      </c>
      <c r="O57" s="56">
        <v>2852.39</v>
      </c>
      <c r="P57" s="56">
        <v>3310.81</v>
      </c>
      <c r="Q57" s="56">
        <v>3565.49</v>
      </c>
      <c r="R57" s="56">
        <v>3711.02</v>
      </c>
      <c r="S57" s="56">
        <v>4074.84</v>
      </c>
      <c r="T57" s="56">
        <v>4329.5200000000004</v>
      </c>
    </row>
    <row r="58" spans="2:20" ht="13.8">
      <c r="B58" s="62"/>
      <c r="C58" s="62"/>
      <c r="D58" s="54" t="s">
        <v>76</v>
      </c>
      <c r="E58" s="55">
        <v>400</v>
      </c>
      <c r="F58" s="56">
        <v>1000</v>
      </c>
      <c r="G58" s="56">
        <v>1384.61</v>
      </c>
      <c r="H58" s="56">
        <v>1861.54</v>
      </c>
      <c r="I58" s="56">
        <v>2115.38</v>
      </c>
      <c r="J58" s="56">
        <v>2576.92</v>
      </c>
      <c r="K58" s="56">
        <v>3076.92</v>
      </c>
      <c r="L58" s="56">
        <v>3192.3</v>
      </c>
      <c r="M58" s="56">
        <v>3194.38</v>
      </c>
      <c r="N58" s="56">
        <v>3056.13</v>
      </c>
      <c r="O58" s="56">
        <v>3259.87</v>
      </c>
      <c r="P58" s="56">
        <v>3783.78</v>
      </c>
      <c r="Q58" s="56">
        <v>4074.84</v>
      </c>
      <c r="R58" s="56">
        <v>4220.37</v>
      </c>
      <c r="S58" s="56">
        <v>4656.96</v>
      </c>
      <c r="T58" s="56">
        <v>4948.0200000000004</v>
      </c>
    </row>
    <row r="59" spans="2:20" ht="13.8">
      <c r="B59" s="62"/>
      <c r="C59" s="62"/>
      <c r="D59" s="54" t="s">
        <v>76</v>
      </c>
      <c r="E59" s="55">
        <v>450</v>
      </c>
      <c r="F59" s="56">
        <v>1086.54</v>
      </c>
      <c r="G59" s="56">
        <v>1514.42</v>
      </c>
      <c r="H59" s="56">
        <v>2094.23</v>
      </c>
      <c r="I59" s="56">
        <v>2379.81</v>
      </c>
      <c r="J59" s="56">
        <v>2880.77</v>
      </c>
      <c r="K59" s="56">
        <v>3365.38</v>
      </c>
      <c r="L59" s="56">
        <v>3592.3</v>
      </c>
      <c r="M59" s="56">
        <v>3267.15</v>
      </c>
      <c r="N59" s="56">
        <v>3354.47</v>
      </c>
      <c r="O59" s="56">
        <v>3674.63</v>
      </c>
      <c r="P59" s="56">
        <v>4169.43</v>
      </c>
      <c r="Q59" s="56">
        <v>4584.2</v>
      </c>
      <c r="R59" s="56">
        <v>4729.7299999999996</v>
      </c>
      <c r="S59" s="56">
        <v>5122.66</v>
      </c>
      <c r="T59" s="56">
        <v>5566.52</v>
      </c>
    </row>
    <row r="60" spans="2:20" ht="13.8">
      <c r="B60" s="62"/>
      <c r="C60" s="62"/>
      <c r="D60" s="54" t="s">
        <v>76</v>
      </c>
      <c r="E60" s="55">
        <v>500</v>
      </c>
      <c r="F60" s="56">
        <v>1160</v>
      </c>
      <c r="G60" s="56">
        <v>1813.27</v>
      </c>
      <c r="H60" s="56">
        <v>2364.23</v>
      </c>
      <c r="I60" s="56">
        <v>2582.69</v>
      </c>
      <c r="J60" s="56">
        <v>3051.92</v>
      </c>
      <c r="K60" s="56">
        <v>3521.15</v>
      </c>
      <c r="L60" s="56">
        <v>3988.46</v>
      </c>
      <c r="M60" s="56">
        <v>3371.93</v>
      </c>
      <c r="N60" s="56">
        <v>3727.02</v>
      </c>
      <c r="O60" s="56">
        <v>4080.66</v>
      </c>
      <c r="P60" s="56">
        <v>4434.3</v>
      </c>
      <c r="Q60" s="56">
        <v>4789.3900000000003</v>
      </c>
      <c r="R60" s="56">
        <v>5143.03</v>
      </c>
      <c r="S60" s="56">
        <v>5496.67</v>
      </c>
      <c r="T60" s="56">
        <v>5851.76</v>
      </c>
    </row>
    <row r="61" spans="2:20" ht="13.8">
      <c r="B61" s="62"/>
      <c r="C61" s="62"/>
      <c r="D61" s="54" t="s">
        <v>76</v>
      </c>
      <c r="E61" s="55">
        <v>600</v>
      </c>
      <c r="F61" s="56">
        <v>1384.61</v>
      </c>
      <c r="G61" s="56">
        <v>1865.38</v>
      </c>
      <c r="H61" s="56">
        <v>2394.23</v>
      </c>
      <c r="I61" s="56">
        <v>2775</v>
      </c>
      <c r="J61" s="56">
        <v>3259.61</v>
      </c>
      <c r="K61" s="56">
        <v>4038.46</v>
      </c>
      <c r="L61" s="56">
        <v>4105.7700000000004</v>
      </c>
      <c r="M61" s="56">
        <v>3500</v>
      </c>
      <c r="N61" s="56">
        <v>3849.27</v>
      </c>
      <c r="O61" s="56">
        <v>4897.08</v>
      </c>
      <c r="P61" s="56">
        <v>4795.21</v>
      </c>
      <c r="Q61" s="56">
        <v>5595.63</v>
      </c>
      <c r="R61" s="56">
        <v>5712.05</v>
      </c>
      <c r="S61" s="56">
        <v>5741.16</v>
      </c>
      <c r="T61" s="56">
        <v>6126.81</v>
      </c>
    </row>
    <row r="62" spans="2:20" ht="13.8">
      <c r="B62" s="62"/>
      <c r="C62" s="62"/>
      <c r="D62" s="54" t="s">
        <v>76</v>
      </c>
      <c r="E62" s="55">
        <v>700</v>
      </c>
      <c r="F62" s="56">
        <v>1413.46</v>
      </c>
      <c r="G62" s="56">
        <v>1894.23</v>
      </c>
      <c r="H62" s="56">
        <v>2432.69</v>
      </c>
      <c r="I62" s="56">
        <v>2967.3</v>
      </c>
      <c r="J62" s="56">
        <v>3451.92</v>
      </c>
      <c r="K62" s="56">
        <v>4259.6099999999997</v>
      </c>
      <c r="L62" s="56">
        <v>4394.2299999999996</v>
      </c>
      <c r="M62" s="56">
        <v>3565.49</v>
      </c>
      <c r="N62" s="56">
        <v>3929.31</v>
      </c>
      <c r="O62" s="56">
        <v>4984.3999999999996</v>
      </c>
      <c r="P62" s="56">
        <v>5071.72</v>
      </c>
      <c r="Q62" s="56">
        <v>5915.79</v>
      </c>
      <c r="R62" s="56">
        <v>6104.98</v>
      </c>
      <c r="S62" s="56">
        <v>5959.45</v>
      </c>
      <c r="T62" s="56">
        <v>6541.57</v>
      </c>
    </row>
    <row r="63" spans="2:20" ht="13.8">
      <c r="B63" s="62"/>
      <c r="C63" s="62"/>
      <c r="D63" s="54" t="s">
        <v>76</v>
      </c>
      <c r="E63" s="55">
        <v>800</v>
      </c>
      <c r="F63" s="56">
        <v>1432.69</v>
      </c>
      <c r="G63" s="56">
        <v>1932.69</v>
      </c>
      <c r="H63" s="56">
        <v>2396.15</v>
      </c>
      <c r="I63" s="56">
        <v>3159.61</v>
      </c>
      <c r="J63" s="56">
        <v>3644.23</v>
      </c>
      <c r="K63" s="56">
        <v>4375</v>
      </c>
      <c r="L63" s="56">
        <v>4442.3</v>
      </c>
      <c r="M63" s="56">
        <v>4074.84</v>
      </c>
      <c r="N63" s="56">
        <v>4249.4799999999996</v>
      </c>
      <c r="O63" s="56">
        <v>5275.46</v>
      </c>
      <c r="P63" s="56">
        <v>5377.33</v>
      </c>
      <c r="Q63" s="56">
        <v>6352.38</v>
      </c>
      <c r="R63" s="56">
        <v>6396.04</v>
      </c>
      <c r="S63" s="56">
        <v>6403.32</v>
      </c>
      <c r="T63" s="56">
        <v>6730.76</v>
      </c>
    </row>
    <row r="64" spans="2:20" ht="13.8">
      <c r="B64" s="62"/>
      <c r="C64" s="62"/>
      <c r="D64" s="54" t="s">
        <v>76</v>
      </c>
      <c r="E64" s="55">
        <v>900</v>
      </c>
      <c r="F64" s="56">
        <v>1461.54</v>
      </c>
      <c r="G64" s="56">
        <v>1971.15</v>
      </c>
      <c r="H64" s="56">
        <v>2496.15</v>
      </c>
      <c r="I64" s="56">
        <v>3351.92</v>
      </c>
      <c r="J64" s="56">
        <v>3817.3</v>
      </c>
      <c r="K64" s="56">
        <v>4567.3</v>
      </c>
      <c r="L64" s="56">
        <v>4673.07</v>
      </c>
      <c r="M64" s="56">
        <v>4584.2</v>
      </c>
      <c r="N64" s="56">
        <v>4715.17</v>
      </c>
      <c r="O64" s="56">
        <v>5566.52</v>
      </c>
      <c r="P64" s="56">
        <v>5712.05</v>
      </c>
      <c r="Q64" s="56">
        <v>6614.34</v>
      </c>
      <c r="R64" s="56">
        <v>6687.1</v>
      </c>
      <c r="S64" s="56">
        <v>7203.74</v>
      </c>
      <c r="T64" s="56">
        <v>7203.74</v>
      </c>
    </row>
    <row r="65" spans="2:20" ht="13.8">
      <c r="B65" s="62"/>
      <c r="C65" s="62"/>
      <c r="D65" s="54" t="s">
        <v>76</v>
      </c>
      <c r="E65" s="55">
        <v>1000</v>
      </c>
      <c r="F65" s="56">
        <v>1475.58</v>
      </c>
      <c r="G65" s="56">
        <v>2016.73</v>
      </c>
      <c r="H65" s="56">
        <v>2638.46</v>
      </c>
      <c r="I65" s="56">
        <v>3407.69</v>
      </c>
      <c r="J65" s="56">
        <v>4175</v>
      </c>
      <c r="K65" s="56">
        <v>4621.1499999999996</v>
      </c>
      <c r="L65" s="56">
        <v>5346.15</v>
      </c>
      <c r="M65" s="56">
        <v>4905.82</v>
      </c>
      <c r="N65" s="56">
        <v>5230.3500000000004</v>
      </c>
      <c r="O65" s="56">
        <v>6017.67</v>
      </c>
      <c r="P65" s="56">
        <v>5937.62</v>
      </c>
      <c r="Q65" s="56">
        <v>6911.22</v>
      </c>
      <c r="R65" s="56">
        <v>7018.91</v>
      </c>
      <c r="S65" s="56">
        <v>7889.18</v>
      </c>
      <c r="T65" s="56">
        <v>7889.18</v>
      </c>
    </row>
    <row r="66" spans="2:20" ht="13.8">
      <c r="B66" s="62"/>
      <c r="C66" s="62"/>
      <c r="D66" s="54" t="s">
        <v>76</v>
      </c>
      <c r="E66" s="55">
        <v>2000</v>
      </c>
      <c r="F66" s="56">
        <v>1613.84</v>
      </c>
      <c r="G66" s="56">
        <v>2578.84</v>
      </c>
      <c r="H66" s="56">
        <v>2981.92</v>
      </c>
      <c r="I66" s="56">
        <v>4182.6899999999996</v>
      </c>
      <c r="J66" s="56">
        <v>5111.53</v>
      </c>
      <c r="K66" s="56">
        <v>6474.99</v>
      </c>
      <c r="L66" s="56">
        <v>6367.3</v>
      </c>
      <c r="M66" s="56">
        <v>5972.55</v>
      </c>
      <c r="N66" s="56">
        <v>6227.23</v>
      </c>
      <c r="O66" s="56">
        <v>7177.54</v>
      </c>
      <c r="P66" s="56">
        <v>7096.04</v>
      </c>
      <c r="Q66" s="56">
        <v>8186.06</v>
      </c>
      <c r="R66" s="56">
        <v>8401.4500000000007</v>
      </c>
      <c r="S66" s="56">
        <v>9433.25</v>
      </c>
      <c r="T66" s="56">
        <v>9433.25</v>
      </c>
    </row>
    <row r="67" spans="2:20" ht="13.8">
      <c r="B67" s="62"/>
      <c r="C67" s="62"/>
      <c r="D67" s="54" t="s">
        <v>76</v>
      </c>
      <c r="E67" s="55">
        <v>2500</v>
      </c>
      <c r="F67" s="56">
        <v>1710.09</v>
      </c>
      <c r="G67" s="56">
        <v>2681.73</v>
      </c>
      <c r="H67" s="56">
        <v>3499.03</v>
      </c>
      <c r="I67" s="56">
        <v>4505.76</v>
      </c>
      <c r="J67" s="56">
        <v>5521.15</v>
      </c>
      <c r="K67" s="56">
        <v>6530.76</v>
      </c>
      <c r="L67" s="56">
        <v>7238.45</v>
      </c>
      <c r="M67" s="56">
        <v>6483.36</v>
      </c>
      <c r="N67" s="56">
        <v>6992.72</v>
      </c>
      <c r="O67" s="56">
        <v>7702.9</v>
      </c>
      <c r="P67" s="56">
        <v>8047.81</v>
      </c>
      <c r="Q67" s="56">
        <v>8985.02</v>
      </c>
      <c r="R67" s="56">
        <v>9092.7099999999991</v>
      </c>
      <c r="S67" s="56">
        <v>10207.469999999999</v>
      </c>
      <c r="T67" s="56">
        <v>10207.469999999999</v>
      </c>
    </row>
    <row r="68" spans="2:20" ht="13.8">
      <c r="B68" s="62"/>
      <c r="C68" s="62"/>
      <c r="D68" s="54" t="s">
        <v>76</v>
      </c>
      <c r="E68" s="55">
        <v>3000</v>
      </c>
      <c r="F68" s="56">
        <v>1890</v>
      </c>
      <c r="G68" s="56">
        <v>3257.3</v>
      </c>
      <c r="H68" s="56">
        <v>3570.57</v>
      </c>
      <c r="I68" s="56">
        <v>4907.6899999999996</v>
      </c>
      <c r="J68" s="56">
        <v>5923.07</v>
      </c>
      <c r="K68" s="56">
        <v>7498.07</v>
      </c>
      <c r="L68" s="56">
        <v>7388.45</v>
      </c>
      <c r="M68" s="56">
        <v>6861.74</v>
      </c>
      <c r="N68" s="56">
        <v>7227.02</v>
      </c>
      <c r="O68" s="56">
        <v>8334.5</v>
      </c>
      <c r="P68" s="56">
        <v>8253.01</v>
      </c>
      <c r="Q68" s="56">
        <v>9462.36</v>
      </c>
      <c r="R68" s="56">
        <v>9783.98</v>
      </c>
      <c r="S68" s="56">
        <v>10981.69</v>
      </c>
      <c r="T68" s="56">
        <v>10981.69</v>
      </c>
    </row>
    <row r="69" spans="2:20" ht="13.8">
      <c r="B69" s="62"/>
      <c r="C69" s="62"/>
      <c r="D69" s="54" t="s">
        <v>76</v>
      </c>
      <c r="E69" s="55">
        <v>4000</v>
      </c>
      <c r="F69" s="56">
        <v>2156.92</v>
      </c>
      <c r="G69" s="56">
        <v>3528.46</v>
      </c>
      <c r="H69" s="56">
        <v>4144.6099999999997</v>
      </c>
      <c r="I69" s="56">
        <v>5651.92</v>
      </c>
      <c r="J69" s="56">
        <v>6723.07</v>
      </c>
      <c r="K69" s="56">
        <v>8521.15</v>
      </c>
      <c r="L69" s="56">
        <v>8415.3799999999992</v>
      </c>
      <c r="M69" s="56">
        <v>7750.93</v>
      </c>
      <c r="N69" s="56">
        <v>8223.9</v>
      </c>
      <c r="O69" s="56">
        <v>9495.83</v>
      </c>
      <c r="P69" s="56">
        <v>9414.34</v>
      </c>
      <c r="Q69" s="56">
        <v>10737.2</v>
      </c>
      <c r="R69" s="56">
        <v>11175.25</v>
      </c>
      <c r="S69" s="56">
        <v>12527.22</v>
      </c>
      <c r="T69" s="56">
        <v>12527.22</v>
      </c>
    </row>
    <row r="70" spans="2:20" ht="13.8">
      <c r="B70" s="62"/>
      <c r="C70" s="62"/>
      <c r="D70" s="54" t="s">
        <v>76</v>
      </c>
      <c r="E70" s="55">
        <v>5000</v>
      </c>
      <c r="F70" s="56">
        <v>2357.69</v>
      </c>
      <c r="G70" s="56">
        <v>3819.23</v>
      </c>
      <c r="H70" s="56">
        <v>4581.7299999999996</v>
      </c>
      <c r="I70" s="56">
        <v>5963.46</v>
      </c>
      <c r="J70" s="56">
        <v>7342.3</v>
      </c>
      <c r="K70" s="56">
        <v>8719.2199999999993</v>
      </c>
      <c r="L70" s="56">
        <v>9430.76</v>
      </c>
      <c r="M70" s="56">
        <v>8643.0300000000007</v>
      </c>
      <c r="N70" s="56">
        <v>9216.41</v>
      </c>
      <c r="O70" s="56">
        <v>10658.62</v>
      </c>
      <c r="P70" s="56">
        <v>10575.67</v>
      </c>
      <c r="Q70" s="56">
        <v>12016.41</v>
      </c>
      <c r="R70" s="56">
        <v>12553.42</v>
      </c>
      <c r="S70" s="56">
        <v>14069.84</v>
      </c>
      <c r="T70" s="56">
        <v>14069.84</v>
      </c>
    </row>
    <row r="71" spans="2:20" ht="13.8">
      <c r="B71" s="62"/>
      <c r="C71" s="62"/>
      <c r="D71" s="54" t="s">
        <v>76</v>
      </c>
      <c r="E71" s="55">
        <v>6000</v>
      </c>
      <c r="F71" s="56">
        <v>2754.23</v>
      </c>
      <c r="G71" s="56">
        <v>4301.53</v>
      </c>
      <c r="H71" s="56">
        <v>4740</v>
      </c>
      <c r="I71" s="56">
        <v>6507.69</v>
      </c>
      <c r="J71" s="56">
        <v>8473.07</v>
      </c>
      <c r="K71" s="56">
        <v>9815.3700000000008</v>
      </c>
      <c r="L71" s="56">
        <v>9815.3700000000008</v>
      </c>
      <c r="M71" s="56">
        <v>9019.9500000000007</v>
      </c>
      <c r="N71" s="56">
        <v>9786.89</v>
      </c>
      <c r="O71" s="56">
        <v>10821.61</v>
      </c>
      <c r="P71" s="56">
        <v>10821.61</v>
      </c>
      <c r="Q71" s="56">
        <v>12419.53</v>
      </c>
      <c r="R71" s="56">
        <v>13185.02</v>
      </c>
      <c r="S71" s="56">
        <v>14260.48</v>
      </c>
      <c r="T71" s="56">
        <v>14260.48</v>
      </c>
    </row>
    <row r="72" spans="2:20" ht="13.8">
      <c r="B72" s="62"/>
      <c r="C72" s="62"/>
      <c r="D72" s="54" t="s">
        <v>76</v>
      </c>
      <c r="E72" s="55">
        <v>7000</v>
      </c>
      <c r="F72" s="56">
        <v>3059.8</v>
      </c>
      <c r="G72" s="56">
        <v>4790.96</v>
      </c>
      <c r="H72" s="56">
        <v>5289.03</v>
      </c>
      <c r="I72" s="56">
        <v>7049.99</v>
      </c>
      <c r="J72" s="56">
        <v>9421.14</v>
      </c>
      <c r="K72" s="56">
        <v>11001.91</v>
      </c>
      <c r="L72" s="56">
        <v>11001.91</v>
      </c>
      <c r="M72" s="56">
        <v>10053.209999999999</v>
      </c>
      <c r="N72" s="56">
        <v>10940.95</v>
      </c>
      <c r="O72" s="56">
        <v>12182.32</v>
      </c>
      <c r="P72" s="56">
        <v>12182.32</v>
      </c>
      <c r="Q72" s="56">
        <v>13915.58</v>
      </c>
      <c r="R72" s="56">
        <v>14803.31</v>
      </c>
      <c r="S72" s="56">
        <v>15337.41</v>
      </c>
      <c r="T72" s="56">
        <v>15337.41</v>
      </c>
    </row>
    <row r="73" spans="2:20" ht="13.8">
      <c r="B73" s="62"/>
      <c r="C73" s="62"/>
      <c r="D73" s="54" t="s">
        <v>76</v>
      </c>
      <c r="E73" s="55">
        <v>8000</v>
      </c>
      <c r="F73" s="56">
        <v>3216.92</v>
      </c>
      <c r="G73" s="56">
        <v>5275.38</v>
      </c>
      <c r="H73" s="56">
        <v>5850.76</v>
      </c>
      <c r="I73" s="56">
        <v>7728.84</v>
      </c>
      <c r="J73" s="56">
        <v>10369.219999999999</v>
      </c>
      <c r="K73" s="56">
        <v>12171.14</v>
      </c>
      <c r="L73" s="56">
        <v>12171.14</v>
      </c>
      <c r="M73" s="56">
        <v>11070.47</v>
      </c>
      <c r="N73" s="56">
        <v>12076.08</v>
      </c>
      <c r="O73" s="56">
        <v>13500.82</v>
      </c>
      <c r="P73" s="56">
        <v>13502.27</v>
      </c>
      <c r="Q73" s="56">
        <v>15367.97</v>
      </c>
      <c r="R73" s="56">
        <v>16375.04</v>
      </c>
      <c r="S73" s="56">
        <v>17057.57</v>
      </c>
      <c r="T73" s="56">
        <v>17057.57</v>
      </c>
    </row>
    <row r="74" spans="2:20" ht="13.8">
      <c r="B74" s="62"/>
      <c r="C74" s="62"/>
      <c r="D74" s="54" t="s">
        <v>76</v>
      </c>
      <c r="E74" s="55">
        <v>9000</v>
      </c>
      <c r="F74" s="56">
        <v>3482.3</v>
      </c>
      <c r="G74" s="56">
        <v>5772.11</v>
      </c>
      <c r="H74" s="56">
        <v>6402.11</v>
      </c>
      <c r="I74" s="56">
        <v>8544.2199999999993</v>
      </c>
      <c r="J74" s="56">
        <v>11278.83</v>
      </c>
      <c r="K74" s="56">
        <v>13344.22</v>
      </c>
      <c r="L74" s="56">
        <v>13344.22</v>
      </c>
      <c r="M74" s="56">
        <v>12080.45</v>
      </c>
      <c r="N74" s="56">
        <v>13196.66</v>
      </c>
      <c r="O74" s="56">
        <v>14813.5</v>
      </c>
      <c r="P74" s="56">
        <v>14813.5</v>
      </c>
      <c r="Q74" s="56">
        <v>16802.89</v>
      </c>
      <c r="R74" s="56">
        <v>17917.650000000001</v>
      </c>
      <c r="S74" s="56">
        <v>18720.98</v>
      </c>
      <c r="T74" s="56">
        <v>18720.98</v>
      </c>
    </row>
    <row r="75" spans="2:20" ht="13.8">
      <c r="B75" s="62"/>
      <c r="C75" s="62"/>
      <c r="D75" s="54" t="s">
        <v>76</v>
      </c>
      <c r="E75" s="55">
        <v>10000</v>
      </c>
      <c r="F75" s="56">
        <v>3798.07</v>
      </c>
      <c r="G75" s="56">
        <v>6184.61</v>
      </c>
      <c r="H75" s="56">
        <v>7419.22</v>
      </c>
      <c r="I75" s="56">
        <v>9630.76</v>
      </c>
      <c r="J75" s="56">
        <v>11578.83</v>
      </c>
      <c r="K75" s="56">
        <v>14082.68</v>
      </c>
      <c r="L75" s="56">
        <v>14536.52</v>
      </c>
      <c r="M75" s="56">
        <v>13090.42</v>
      </c>
      <c r="N75" s="56">
        <v>14197.91</v>
      </c>
      <c r="O75" s="56">
        <v>16453.62</v>
      </c>
      <c r="P75" s="56">
        <v>16361.94</v>
      </c>
      <c r="Q75" s="56">
        <v>18394.990000000002</v>
      </c>
      <c r="R75" s="56">
        <v>19467.55</v>
      </c>
      <c r="S75" s="56">
        <v>20569.21</v>
      </c>
      <c r="T75" s="56">
        <v>20569.21</v>
      </c>
    </row>
    <row r="76" spans="2:20" ht="13.8">
      <c r="B76" s="62"/>
      <c r="C76" s="62"/>
      <c r="D76" s="54" t="s">
        <v>76</v>
      </c>
      <c r="E76" s="55">
        <v>15000</v>
      </c>
      <c r="F76" s="56">
        <v>5183.6499999999996</v>
      </c>
      <c r="G76" s="56">
        <v>8674.0300000000007</v>
      </c>
      <c r="H76" s="56">
        <v>10243.26</v>
      </c>
      <c r="I76" s="56">
        <v>13423.06</v>
      </c>
      <c r="J76" s="56">
        <v>16590.37</v>
      </c>
      <c r="K76" s="56">
        <v>19769.21</v>
      </c>
      <c r="L76" s="56">
        <v>21438.44</v>
      </c>
      <c r="M76" s="56">
        <v>16724.310000000001</v>
      </c>
      <c r="N76" s="56">
        <v>18053</v>
      </c>
      <c r="O76" s="56">
        <v>21839.69</v>
      </c>
      <c r="P76" s="56">
        <v>21841.14</v>
      </c>
      <c r="Q76" s="56">
        <v>22149.67</v>
      </c>
      <c r="R76" s="56">
        <v>24587.29</v>
      </c>
      <c r="S76" s="56">
        <v>30561.3</v>
      </c>
      <c r="T76" s="56">
        <v>30561.3</v>
      </c>
    </row>
    <row r="77" spans="2:20" ht="13.8">
      <c r="B77" s="62"/>
      <c r="C77" s="62"/>
      <c r="D77" s="54" t="s">
        <v>76</v>
      </c>
      <c r="E77" s="55">
        <v>20000</v>
      </c>
      <c r="F77" s="56">
        <v>6492.3</v>
      </c>
      <c r="G77" s="56">
        <v>11103.84</v>
      </c>
      <c r="H77" s="56">
        <v>13007.68</v>
      </c>
      <c r="I77" s="56">
        <v>17134.599999999999</v>
      </c>
      <c r="J77" s="56">
        <v>21265.360000000001</v>
      </c>
      <c r="K77" s="56">
        <v>25238.44</v>
      </c>
      <c r="L77" s="56">
        <v>26865.360000000001</v>
      </c>
      <c r="M77" s="56">
        <v>21430.75</v>
      </c>
      <c r="N77" s="56">
        <v>23104.34</v>
      </c>
      <c r="O77" s="56">
        <v>28880.43</v>
      </c>
      <c r="P77" s="56">
        <v>28880.43</v>
      </c>
      <c r="Q77" s="56">
        <v>29084.17</v>
      </c>
      <c r="R77" s="56">
        <v>30699.55</v>
      </c>
      <c r="S77" s="56">
        <v>39314.93</v>
      </c>
      <c r="T77" s="56">
        <v>39314.93</v>
      </c>
    </row>
    <row r="78" spans="2:20" ht="13.8">
      <c r="B78" s="62"/>
      <c r="C78" s="62"/>
      <c r="D78" s="54" t="s">
        <v>76</v>
      </c>
      <c r="E78" s="55">
        <v>25000</v>
      </c>
      <c r="F78" s="56">
        <v>7879.8</v>
      </c>
      <c r="G78" s="56">
        <v>13576.91</v>
      </c>
      <c r="H78" s="56">
        <v>16293.25</v>
      </c>
      <c r="I78" s="56">
        <v>20798.060000000001</v>
      </c>
      <c r="J78" s="56">
        <v>25865.360000000001</v>
      </c>
      <c r="K78" s="56">
        <v>30913.43</v>
      </c>
      <c r="L78" s="56">
        <v>32298.04</v>
      </c>
      <c r="M78" s="56">
        <v>26086.25</v>
      </c>
      <c r="N78" s="56">
        <v>28880.43</v>
      </c>
      <c r="O78" s="56">
        <v>34774.39</v>
      </c>
      <c r="P78" s="56">
        <v>34774.39</v>
      </c>
      <c r="Q78" s="56">
        <v>35152.769999999997</v>
      </c>
      <c r="R78" s="56">
        <v>36535.31</v>
      </c>
      <c r="S78" s="56">
        <v>37845.08</v>
      </c>
      <c r="T78" s="56">
        <v>37845.08</v>
      </c>
    </row>
  </sheetData>
  <mergeCells count="19">
    <mergeCell ref="B45:B78"/>
    <mergeCell ref="C45:C78"/>
    <mergeCell ref="F3:I3"/>
    <mergeCell ref="J3:M3"/>
    <mergeCell ref="N3:Q3"/>
    <mergeCell ref="BB3:BE3"/>
    <mergeCell ref="BF3:BI3"/>
    <mergeCell ref="BJ3:BM3"/>
    <mergeCell ref="B5:B38"/>
    <mergeCell ref="C5:C38"/>
    <mergeCell ref="R3:U3"/>
    <mergeCell ref="V3:Y3"/>
    <mergeCell ref="Z3:AC3"/>
    <mergeCell ref="AD3:AG3"/>
    <mergeCell ref="AH3:AK3"/>
    <mergeCell ref="AL3:AO3"/>
    <mergeCell ref="AP3:AS3"/>
    <mergeCell ref="AT3:AW3"/>
    <mergeCell ref="AX3:BA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B1:H1001"/>
  <sheetViews>
    <sheetView topLeftCell="A63" workbookViewId="0"/>
  </sheetViews>
  <sheetFormatPr defaultColWidth="12.6640625" defaultRowHeight="15.75" customHeight="1"/>
  <cols>
    <col min="5" max="5" width="35.109375" customWidth="1"/>
    <col min="7" max="7" width="17.21875" customWidth="1"/>
    <col min="8" max="8" width="23.109375" customWidth="1"/>
    <col min="9" max="9" width="25.21875" customWidth="1"/>
    <col min="10" max="10" width="30.33203125" customWidth="1"/>
  </cols>
  <sheetData>
    <row r="1" spans="2:8" ht="13.2">
      <c r="D1" s="19"/>
      <c r="E1" s="57"/>
    </row>
    <row r="2" spans="2:8" ht="13.2">
      <c r="B2" s="16" t="s">
        <v>0</v>
      </c>
      <c r="C2" s="16" t="s">
        <v>1</v>
      </c>
      <c r="D2" s="58" t="s">
        <v>77</v>
      </c>
      <c r="E2" s="59" t="s">
        <v>78</v>
      </c>
      <c r="F2" s="16"/>
      <c r="G2" s="16"/>
      <c r="H2" s="16"/>
    </row>
    <row r="3" spans="2:8" ht="13.2">
      <c r="B3" s="74" t="s">
        <v>79</v>
      </c>
      <c r="C3" s="54" t="s">
        <v>80</v>
      </c>
      <c r="D3" s="19">
        <v>25</v>
      </c>
      <c r="E3" s="60">
        <v>3.92</v>
      </c>
    </row>
    <row r="4" spans="2:8" ht="13.2">
      <c r="B4" s="62"/>
      <c r="C4" s="54" t="s">
        <v>37</v>
      </c>
      <c r="D4" s="19">
        <v>50</v>
      </c>
      <c r="E4" s="60">
        <v>2.56</v>
      </c>
    </row>
    <row r="5" spans="2:8" ht="13.2">
      <c r="B5" s="62"/>
      <c r="C5" s="54" t="s">
        <v>37</v>
      </c>
      <c r="D5" s="19">
        <v>100</v>
      </c>
      <c r="E5" s="60">
        <v>2.95</v>
      </c>
    </row>
    <row r="6" spans="2:8" ht="13.2">
      <c r="B6" s="62"/>
      <c r="C6" s="54" t="s">
        <v>37</v>
      </c>
      <c r="D6" s="19">
        <v>250</v>
      </c>
      <c r="E6" s="60">
        <v>1.31</v>
      </c>
    </row>
    <row r="7" spans="2:8" ht="13.2">
      <c r="B7" s="62"/>
      <c r="C7" s="54" t="s">
        <v>37</v>
      </c>
      <c r="D7" s="19">
        <v>500</v>
      </c>
      <c r="E7" s="60">
        <v>0.84</v>
      </c>
    </row>
    <row r="8" spans="2:8" ht="13.2">
      <c r="D8" s="19"/>
      <c r="E8" s="57" t="s">
        <v>81</v>
      </c>
    </row>
    <row r="9" spans="2:8" ht="15" customHeight="1">
      <c r="D9" s="19"/>
      <c r="E9" s="57" t="s">
        <v>82</v>
      </c>
    </row>
    <row r="10" spans="2:8" ht="13.2">
      <c r="B10" s="16" t="s">
        <v>0</v>
      </c>
      <c r="C10" s="16" t="s">
        <v>1</v>
      </c>
      <c r="D10" s="58" t="s">
        <v>77</v>
      </c>
      <c r="E10" s="59" t="s">
        <v>83</v>
      </c>
      <c r="F10" s="16"/>
      <c r="G10" s="16"/>
      <c r="H10" s="16"/>
    </row>
    <row r="11" spans="2:8" ht="13.2">
      <c r="B11" s="74" t="s">
        <v>79</v>
      </c>
      <c r="C11" s="54" t="s">
        <v>80</v>
      </c>
      <c r="D11" s="19">
        <v>25</v>
      </c>
      <c r="E11" s="54">
        <v>4.32</v>
      </c>
    </row>
    <row r="12" spans="2:8" ht="13.2">
      <c r="B12" s="62"/>
      <c r="C12" s="54" t="s">
        <v>37</v>
      </c>
      <c r="D12" s="19">
        <v>50</v>
      </c>
      <c r="E12" s="54">
        <v>2.96</v>
      </c>
    </row>
    <row r="13" spans="2:8" ht="13.2">
      <c r="B13" s="62"/>
      <c r="C13" s="54" t="s">
        <v>37</v>
      </c>
      <c r="D13" s="19">
        <v>100</v>
      </c>
      <c r="E13" s="54">
        <v>3.25</v>
      </c>
    </row>
    <row r="14" spans="2:8" ht="13.2">
      <c r="B14" s="62"/>
      <c r="C14" s="54" t="s">
        <v>37</v>
      </c>
      <c r="D14" s="19">
        <v>250</v>
      </c>
      <c r="E14" s="54">
        <v>1.31</v>
      </c>
    </row>
    <row r="15" spans="2:8" ht="13.2">
      <c r="B15" s="62"/>
      <c r="C15" s="54" t="s">
        <v>37</v>
      </c>
      <c r="D15" s="19">
        <v>500</v>
      </c>
      <c r="E15" s="54">
        <v>0.84</v>
      </c>
    </row>
    <row r="16" spans="2:8" ht="13.2">
      <c r="D16" s="19"/>
      <c r="E16" s="57" t="s">
        <v>81</v>
      </c>
    </row>
    <row r="17" spans="2:8" ht="15" customHeight="1">
      <c r="D17" s="19"/>
      <c r="E17" s="57" t="s">
        <v>82</v>
      </c>
    </row>
    <row r="18" spans="2:8" ht="13.2">
      <c r="D18" s="19"/>
      <c r="E18" s="57"/>
    </row>
    <row r="19" spans="2:8" ht="13.2">
      <c r="B19" s="16" t="s">
        <v>0</v>
      </c>
      <c r="C19" s="16" t="s">
        <v>1</v>
      </c>
      <c r="D19" s="58" t="s">
        <v>77</v>
      </c>
      <c r="E19" s="59" t="s">
        <v>84</v>
      </c>
      <c r="F19" s="16"/>
      <c r="G19" s="16"/>
      <c r="H19" s="16"/>
    </row>
    <row r="20" spans="2:8" ht="13.2">
      <c r="B20" s="74" t="s">
        <v>79</v>
      </c>
      <c r="C20" s="54" t="s">
        <v>80</v>
      </c>
      <c r="D20" s="19">
        <v>25</v>
      </c>
      <c r="E20" s="54">
        <v>5.72</v>
      </c>
    </row>
    <row r="21" spans="2:8" ht="13.2">
      <c r="B21" s="62"/>
      <c r="C21" s="54" t="s">
        <v>37</v>
      </c>
      <c r="D21" s="19">
        <v>50</v>
      </c>
      <c r="E21" s="54">
        <v>3.86</v>
      </c>
    </row>
    <row r="22" spans="2:8" ht="13.2">
      <c r="B22" s="62"/>
      <c r="C22" s="54" t="s">
        <v>37</v>
      </c>
      <c r="D22" s="19">
        <v>100</v>
      </c>
      <c r="E22" s="54">
        <v>4.25</v>
      </c>
    </row>
    <row r="23" spans="2:8" ht="13.2">
      <c r="B23" s="62"/>
      <c r="C23" s="54" t="s">
        <v>37</v>
      </c>
      <c r="D23" s="19">
        <v>250</v>
      </c>
      <c r="E23" s="54">
        <v>1.31</v>
      </c>
    </row>
    <row r="24" spans="2:8" ht="13.2">
      <c r="B24" s="62"/>
      <c r="C24" s="54" t="s">
        <v>37</v>
      </c>
      <c r="D24" s="19">
        <v>500</v>
      </c>
      <c r="E24" s="54">
        <v>0.84</v>
      </c>
    </row>
    <row r="26" spans="2:8" ht="13.2">
      <c r="D26" s="19"/>
      <c r="E26" s="57" t="s">
        <v>81</v>
      </c>
    </row>
    <row r="27" spans="2:8" ht="15" customHeight="1">
      <c r="D27" s="19"/>
      <c r="E27" s="57" t="s">
        <v>82</v>
      </c>
    </row>
    <row r="28" spans="2:8" ht="13.2">
      <c r="D28" s="19"/>
      <c r="E28" s="57"/>
    </row>
    <row r="29" spans="2:8" ht="13.2">
      <c r="D29" s="19"/>
      <c r="E29" s="57"/>
    </row>
    <row r="30" spans="2:8" ht="13.2">
      <c r="B30" s="16" t="s">
        <v>0</v>
      </c>
      <c r="C30" s="16" t="s">
        <v>1</v>
      </c>
      <c r="D30" s="58" t="s">
        <v>77</v>
      </c>
      <c r="E30" s="59" t="s">
        <v>85</v>
      </c>
      <c r="F30" s="16"/>
      <c r="G30" s="16"/>
      <c r="H30" s="16"/>
    </row>
    <row r="31" spans="2:8" ht="13.2">
      <c r="B31" s="74" t="s">
        <v>79</v>
      </c>
      <c r="C31" s="54" t="s">
        <v>80</v>
      </c>
      <c r="D31" s="19">
        <v>25</v>
      </c>
      <c r="E31" s="54">
        <v>5.72</v>
      </c>
    </row>
    <row r="32" spans="2:8" ht="13.2">
      <c r="B32" s="62"/>
      <c r="C32" s="54" t="s">
        <v>37</v>
      </c>
      <c r="D32" s="19">
        <v>50</v>
      </c>
      <c r="E32" s="54">
        <v>3.86</v>
      </c>
    </row>
    <row r="33" spans="2:8" ht="13.2">
      <c r="B33" s="62"/>
      <c r="C33" s="54" t="s">
        <v>37</v>
      </c>
      <c r="D33" s="19">
        <v>100</v>
      </c>
      <c r="E33" s="54">
        <v>4.25</v>
      </c>
    </row>
    <row r="34" spans="2:8" ht="13.2">
      <c r="B34" s="62"/>
      <c r="C34" s="54" t="s">
        <v>37</v>
      </c>
      <c r="D34" s="19">
        <v>250</v>
      </c>
      <c r="E34" s="54">
        <v>1.31</v>
      </c>
    </row>
    <row r="35" spans="2:8" ht="13.2">
      <c r="B35" s="62"/>
      <c r="C35" s="54" t="s">
        <v>37</v>
      </c>
      <c r="D35" s="19">
        <v>500</v>
      </c>
      <c r="E35" s="54">
        <v>0.84</v>
      </c>
    </row>
    <row r="36" spans="2:8" ht="13.2">
      <c r="D36" s="19"/>
      <c r="E36" s="57"/>
    </row>
    <row r="37" spans="2:8" ht="13.2">
      <c r="D37" s="19"/>
      <c r="E37" s="57" t="s">
        <v>81</v>
      </c>
    </row>
    <row r="38" spans="2:8" ht="15" customHeight="1">
      <c r="D38" s="19"/>
      <c r="E38" s="57" t="s">
        <v>82</v>
      </c>
    </row>
    <row r="39" spans="2:8" ht="13.2">
      <c r="D39" s="19"/>
      <c r="E39" s="57"/>
    </row>
    <row r="43" spans="2:8" ht="13.2">
      <c r="B43" s="16" t="s">
        <v>0</v>
      </c>
      <c r="C43" s="16" t="s">
        <v>1</v>
      </c>
      <c r="D43" s="58" t="s">
        <v>77</v>
      </c>
      <c r="E43" s="59" t="s">
        <v>78</v>
      </c>
      <c r="F43" s="16"/>
      <c r="G43" s="16"/>
      <c r="H43" s="16"/>
    </row>
    <row r="44" spans="2:8" ht="13.2">
      <c r="B44" s="74" t="s">
        <v>79</v>
      </c>
      <c r="C44" s="54" t="s">
        <v>86</v>
      </c>
      <c r="D44" s="19">
        <v>25</v>
      </c>
      <c r="E44" s="60">
        <v>3.92</v>
      </c>
    </row>
    <row r="45" spans="2:8" ht="13.2">
      <c r="B45" s="62"/>
      <c r="C45" s="54" t="s">
        <v>86</v>
      </c>
      <c r="D45" s="19">
        <v>50</v>
      </c>
      <c r="E45" s="60">
        <v>2.56</v>
      </c>
    </row>
    <row r="46" spans="2:8" ht="13.2">
      <c r="B46" s="62"/>
      <c r="C46" s="54" t="s">
        <v>86</v>
      </c>
      <c r="D46" s="19">
        <v>100</v>
      </c>
      <c r="E46" s="60">
        <v>2.95</v>
      </c>
    </row>
    <row r="47" spans="2:8" ht="13.2">
      <c r="B47" s="62"/>
      <c r="C47" s="54" t="s">
        <v>86</v>
      </c>
      <c r="D47" s="19">
        <v>250</v>
      </c>
      <c r="E47" s="60">
        <v>1.31</v>
      </c>
    </row>
    <row r="48" spans="2:8" ht="13.2">
      <c r="B48" s="62"/>
      <c r="C48" s="54" t="s">
        <v>86</v>
      </c>
      <c r="D48" s="19">
        <v>500</v>
      </c>
      <c r="E48" s="60">
        <v>0.84</v>
      </c>
    </row>
    <row r="49" spans="2:8" ht="13.2">
      <c r="D49" s="19"/>
      <c r="E49" s="57" t="s">
        <v>81</v>
      </c>
    </row>
    <row r="50" spans="2:8" ht="15" customHeight="1">
      <c r="D50" s="19"/>
      <c r="E50" s="57" t="s">
        <v>82</v>
      </c>
    </row>
    <row r="51" spans="2:8" ht="13.2">
      <c r="B51" s="16" t="s">
        <v>0</v>
      </c>
      <c r="C51" s="16" t="s">
        <v>1</v>
      </c>
      <c r="D51" s="58" t="s">
        <v>77</v>
      </c>
      <c r="E51" s="59" t="s">
        <v>83</v>
      </c>
      <c r="F51" s="16"/>
      <c r="G51" s="16"/>
      <c r="H51" s="16"/>
    </row>
    <row r="52" spans="2:8" ht="13.2">
      <c r="B52" s="74" t="s">
        <v>79</v>
      </c>
      <c r="C52" s="54" t="s">
        <v>87</v>
      </c>
      <c r="D52" s="19">
        <v>25</v>
      </c>
      <c r="E52" s="54">
        <v>4.32</v>
      </c>
    </row>
    <row r="53" spans="2:8" ht="13.2">
      <c r="B53" s="62"/>
      <c r="C53" s="54" t="s">
        <v>87</v>
      </c>
      <c r="D53" s="19">
        <v>50</v>
      </c>
      <c r="E53" s="54">
        <v>2.96</v>
      </c>
    </row>
    <row r="54" spans="2:8" ht="13.2">
      <c r="B54" s="62"/>
      <c r="C54" s="54" t="s">
        <v>87</v>
      </c>
      <c r="D54" s="19">
        <v>100</v>
      </c>
      <c r="E54" s="54">
        <v>3.25</v>
      </c>
    </row>
    <row r="55" spans="2:8" ht="13.2">
      <c r="B55" s="62"/>
      <c r="C55" s="54" t="s">
        <v>87</v>
      </c>
      <c r="D55" s="19">
        <v>250</v>
      </c>
      <c r="E55" s="54">
        <v>1.31</v>
      </c>
    </row>
    <row r="56" spans="2:8" ht="13.2">
      <c r="B56" s="62"/>
      <c r="C56" s="54" t="s">
        <v>87</v>
      </c>
      <c r="D56" s="19">
        <v>500</v>
      </c>
      <c r="E56" s="54">
        <v>0.84</v>
      </c>
    </row>
    <row r="57" spans="2:8" ht="13.2">
      <c r="D57" s="19"/>
      <c r="E57" s="57" t="s">
        <v>81</v>
      </c>
    </row>
    <row r="58" spans="2:8" ht="15" customHeight="1">
      <c r="D58" s="19"/>
      <c r="E58" s="57" t="s">
        <v>82</v>
      </c>
    </row>
    <row r="59" spans="2:8" ht="13.2">
      <c r="D59" s="19"/>
      <c r="E59" s="57"/>
    </row>
    <row r="60" spans="2:8" ht="13.2">
      <c r="B60" s="16" t="s">
        <v>0</v>
      </c>
      <c r="C60" s="16" t="s">
        <v>1</v>
      </c>
      <c r="D60" s="58" t="s">
        <v>77</v>
      </c>
      <c r="E60" s="59" t="s">
        <v>84</v>
      </c>
      <c r="F60" s="16"/>
      <c r="G60" s="16"/>
      <c r="H60" s="16"/>
    </row>
    <row r="61" spans="2:8" ht="13.2">
      <c r="B61" s="74" t="s">
        <v>79</v>
      </c>
      <c r="C61" s="54" t="s">
        <v>87</v>
      </c>
      <c r="D61" s="19">
        <v>25</v>
      </c>
      <c r="E61" s="54">
        <v>5.72</v>
      </c>
    </row>
    <row r="62" spans="2:8" ht="13.2">
      <c r="B62" s="62"/>
      <c r="C62" s="54" t="s">
        <v>87</v>
      </c>
      <c r="D62" s="19">
        <v>50</v>
      </c>
      <c r="E62" s="54">
        <v>3.86</v>
      </c>
    </row>
    <row r="63" spans="2:8" ht="13.2">
      <c r="B63" s="62"/>
      <c r="C63" s="54" t="s">
        <v>87</v>
      </c>
      <c r="D63" s="19">
        <v>100</v>
      </c>
      <c r="E63" s="54">
        <v>4.25</v>
      </c>
    </row>
    <row r="64" spans="2:8" ht="13.2">
      <c r="B64" s="62"/>
      <c r="C64" s="54" t="s">
        <v>87</v>
      </c>
      <c r="D64" s="19">
        <v>250</v>
      </c>
      <c r="E64" s="54">
        <v>1.31</v>
      </c>
    </row>
    <row r="65" spans="2:8" ht="13.2">
      <c r="B65" s="62"/>
      <c r="C65" s="54" t="s">
        <v>87</v>
      </c>
      <c r="D65" s="19">
        <v>500</v>
      </c>
      <c r="E65" s="54">
        <v>0.84</v>
      </c>
    </row>
    <row r="67" spans="2:8" ht="13.2">
      <c r="D67" s="19"/>
      <c r="E67" s="57" t="s">
        <v>81</v>
      </c>
    </row>
    <row r="68" spans="2:8" ht="15" customHeight="1">
      <c r="D68" s="19"/>
      <c r="E68" s="57" t="s">
        <v>82</v>
      </c>
    </row>
    <row r="69" spans="2:8" ht="13.2">
      <c r="D69" s="19"/>
      <c r="E69" s="57"/>
    </row>
    <row r="70" spans="2:8" ht="13.2">
      <c r="D70" s="19"/>
      <c r="E70" s="57"/>
    </row>
    <row r="71" spans="2:8" ht="13.2">
      <c r="B71" s="16" t="s">
        <v>0</v>
      </c>
      <c r="C71" s="16" t="s">
        <v>1</v>
      </c>
      <c r="D71" s="58" t="s">
        <v>77</v>
      </c>
      <c r="E71" s="59" t="s">
        <v>85</v>
      </c>
      <c r="F71" s="16"/>
      <c r="G71" s="16"/>
      <c r="H71" s="16"/>
    </row>
    <row r="72" spans="2:8" ht="13.2">
      <c r="B72" s="74" t="s">
        <v>79</v>
      </c>
      <c r="C72" s="54" t="s">
        <v>87</v>
      </c>
      <c r="D72" s="19">
        <v>25</v>
      </c>
      <c r="E72" s="54">
        <v>5.72</v>
      </c>
    </row>
    <row r="73" spans="2:8" ht="13.2">
      <c r="B73" s="62"/>
      <c r="C73" s="54" t="s">
        <v>87</v>
      </c>
      <c r="D73" s="19">
        <v>50</v>
      </c>
      <c r="E73" s="54">
        <v>3.86</v>
      </c>
    </row>
    <row r="74" spans="2:8" ht="13.2">
      <c r="B74" s="62"/>
      <c r="C74" s="54" t="s">
        <v>87</v>
      </c>
      <c r="D74" s="19">
        <v>100</v>
      </c>
      <c r="E74" s="54">
        <v>4.25</v>
      </c>
    </row>
    <row r="75" spans="2:8" ht="13.2">
      <c r="B75" s="62"/>
      <c r="C75" s="54" t="s">
        <v>87</v>
      </c>
      <c r="D75" s="19">
        <v>250</v>
      </c>
      <c r="E75" s="54">
        <v>1.31</v>
      </c>
    </row>
    <row r="76" spans="2:8" ht="13.2">
      <c r="B76" s="62"/>
      <c r="C76" s="54" t="s">
        <v>87</v>
      </c>
      <c r="D76" s="19">
        <v>500</v>
      </c>
      <c r="E76" s="54">
        <v>0.84</v>
      </c>
    </row>
    <row r="77" spans="2:8" ht="13.2">
      <c r="D77" s="19"/>
      <c r="E77" s="57"/>
    </row>
    <row r="78" spans="2:8" ht="13.2">
      <c r="D78" s="19"/>
      <c r="E78" s="57" t="s">
        <v>81</v>
      </c>
    </row>
    <row r="79" spans="2:8" ht="15" customHeight="1">
      <c r="D79" s="19"/>
      <c r="E79" s="57" t="s">
        <v>82</v>
      </c>
    </row>
    <row r="80" spans="2:8" ht="13.2">
      <c r="D80" s="19"/>
      <c r="E80" s="57"/>
    </row>
    <row r="81" spans="2:8" ht="13.2">
      <c r="D81" s="19"/>
      <c r="E81" s="57"/>
    </row>
    <row r="82" spans="2:8" ht="13.2">
      <c r="D82" s="19"/>
      <c r="E82" s="57"/>
    </row>
    <row r="83" spans="2:8" ht="13.2">
      <c r="D83" s="19"/>
      <c r="E83" s="57"/>
    </row>
    <row r="84" spans="2:8" ht="13.2">
      <c r="D84" s="19"/>
      <c r="E84" s="57"/>
    </row>
    <row r="85" spans="2:8" ht="13.2">
      <c r="B85" s="16" t="s">
        <v>0</v>
      </c>
      <c r="C85" s="16" t="s">
        <v>1</v>
      </c>
      <c r="D85" s="58" t="s">
        <v>77</v>
      </c>
      <c r="E85" s="59" t="s">
        <v>5</v>
      </c>
      <c r="F85" s="16" t="s">
        <v>88</v>
      </c>
      <c r="G85" s="16" t="s">
        <v>89</v>
      </c>
      <c r="H85" s="16" t="s">
        <v>90</v>
      </c>
    </row>
    <row r="86" spans="2:8" ht="13.2">
      <c r="B86" s="74" t="s">
        <v>79</v>
      </c>
      <c r="C86" s="54" t="s">
        <v>36</v>
      </c>
      <c r="D86" s="19">
        <v>25</v>
      </c>
      <c r="E86" s="60">
        <v>5.12</v>
      </c>
      <c r="F86" s="54">
        <v>5.52</v>
      </c>
      <c r="G86" s="54">
        <v>6.92</v>
      </c>
      <c r="H86" s="54">
        <v>7.32</v>
      </c>
    </row>
    <row r="87" spans="2:8" ht="13.2">
      <c r="B87" s="62"/>
      <c r="C87" s="54" t="s">
        <v>36</v>
      </c>
      <c r="D87" s="19">
        <v>50</v>
      </c>
      <c r="E87" s="60">
        <v>3.46</v>
      </c>
      <c r="F87" s="54">
        <v>3.86</v>
      </c>
      <c r="G87" s="54">
        <v>4.76</v>
      </c>
      <c r="H87" s="54">
        <v>5.16</v>
      </c>
    </row>
    <row r="88" spans="2:8" ht="13.2">
      <c r="B88" s="62"/>
      <c r="C88" s="54" t="s">
        <v>36</v>
      </c>
      <c r="D88" s="19">
        <v>100</v>
      </c>
      <c r="E88" s="60">
        <v>3.53</v>
      </c>
      <c r="F88" s="54">
        <v>3.83</v>
      </c>
      <c r="G88" s="54">
        <v>4.83</v>
      </c>
      <c r="H88" s="54">
        <v>5.13</v>
      </c>
    </row>
    <row r="89" spans="2:8" ht="13.2">
      <c r="B89" s="62"/>
      <c r="C89" s="54" t="s">
        <v>36</v>
      </c>
      <c r="D89" s="19">
        <v>250</v>
      </c>
      <c r="E89" s="60">
        <v>1.59</v>
      </c>
      <c r="F89" s="54">
        <v>1.59</v>
      </c>
      <c r="G89" s="54">
        <v>1.59</v>
      </c>
      <c r="H89" s="54">
        <v>1.59</v>
      </c>
    </row>
    <row r="90" spans="2:8" ht="13.2">
      <c r="B90" s="62"/>
      <c r="C90" s="54" t="s">
        <v>36</v>
      </c>
      <c r="D90" s="19">
        <v>500</v>
      </c>
      <c r="E90" s="60">
        <v>0.99</v>
      </c>
      <c r="F90" s="54">
        <v>0.99</v>
      </c>
      <c r="G90" s="54">
        <v>0.99</v>
      </c>
      <c r="H90" s="54">
        <v>0.99</v>
      </c>
    </row>
    <row r="91" spans="2:8" ht="13.2">
      <c r="D91" s="19"/>
      <c r="E91" s="57"/>
    </row>
    <row r="92" spans="2:8" ht="13.2">
      <c r="D92" s="19"/>
      <c r="E92" s="57"/>
    </row>
    <row r="93" spans="2:8" ht="13.2">
      <c r="D93" s="19"/>
      <c r="E93" s="57"/>
    </row>
    <row r="94" spans="2:8" ht="13.2">
      <c r="D94" s="19"/>
      <c r="E94" s="57"/>
    </row>
    <row r="95" spans="2:8" ht="13.2">
      <c r="D95" s="19"/>
      <c r="E95" s="57"/>
    </row>
    <row r="96" spans="2:8" ht="13.2">
      <c r="D96" s="19"/>
      <c r="E96" s="57"/>
    </row>
    <row r="97" spans="4:5" ht="13.2">
      <c r="D97" s="19"/>
      <c r="E97" s="57"/>
    </row>
    <row r="98" spans="4:5" ht="13.2">
      <c r="D98" s="19"/>
      <c r="E98" s="57"/>
    </row>
    <row r="99" spans="4:5" ht="13.2">
      <c r="D99" s="19"/>
      <c r="E99" s="57"/>
    </row>
    <row r="100" spans="4:5" ht="13.2">
      <c r="D100" s="19"/>
      <c r="E100" s="57"/>
    </row>
    <row r="101" spans="4:5" ht="13.2">
      <c r="D101" s="19"/>
      <c r="E101" s="57"/>
    </row>
    <row r="102" spans="4:5" ht="13.2">
      <c r="D102" s="19"/>
      <c r="E102" s="57"/>
    </row>
    <row r="103" spans="4:5" ht="13.2">
      <c r="D103" s="19"/>
      <c r="E103" s="57"/>
    </row>
    <row r="104" spans="4:5" ht="13.2">
      <c r="D104" s="19"/>
      <c r="E104" s="57"/>
    </row>
    <row r="105" spans="4:5" ht="13.2">
      <c r="D105" s="19"/>
      <c r="E105" s="57"/>
    </row>
    <row r="106" spans="4:5" ht="13.2">
      <c r="D106" s="19"/>
      <c r="E106" s="57"/>
    </row>
    <row r="107" spans="4:5" ht="13.2">
      <c r="D107" s="19"/>
      <c r="E107" s="57"/>
    </row>
    <row r="108" spans="4:5" ht="13.2">
      <c r="D108" s="19"/>
      <c r="E108" s="57"/>
    </row>
    <row r="109" spans="4:5" ht="13.2">
      <c r="D109" s="19"/>
      <c r="E109" s="57"/>
    </row>
    <row r="110" spans="4:5" ht="13.2">
      <c r="D110" s="19"/>
      <c r="E110" s="57"/>
    </row>
    <row r="111" spans="4:5" ht="13.2">
      <c r="D111" s="19"/>
      <c r="E111" s="57"/>
    </row>
    <row r="112" spans="4:5" ht="13.2">
      <c r="D112" s="19"/>
      <c r="E112" s="57"/>
    </row>
    <row r="113" spans="4:5" ht="13.2">
      <c r="D113" s="19"/>
      <c r="E113" s="57"/>
    </row>
    <row r="114" spans="4:5" ht="13.2">
      <c r="D114" s="19"/>
      <c r="E114" s="57"/>
    </row>
    <row r="115" spans="4:5" ht="13.2">
      <c r="D115" s="19"/>
      <c r="E115" s="57"/>
    </row>
    <row r="116" spans="4:5" ht="13.2">
      <c r="D116" s="19"/>
      <c r="E116" s="57"/>
    </row>
    <row r="117" spans="4:5" ht="13.2">
      <c r="D117" s="19"/>
      <c r="E117" s="57"/>
    </row>
    <row r="118" spans="4:5" ht="13.2">
      <c r="D118" s="19"/>
      <c r="E118" s="57"/>
    </row>
    <row r="119" spans="4:5" ht="13.2">
      <c r="D119" s="19"/>
      <c r="E119" s="57"/>
    </row>
    <row r="120" spans="4:5" ht="13.2">
      <c r="D120" s="19"/>
      <c r="E120" s="57"/>
    </row>
    <row r="121" spans="4:5" ht="13.2">
      <c r="D121" s="19"/>
      <c r="E121" s="57"/>
    </row>
    <row r="122" spans="4:5" ht="13.2">
      <c r="D122" s="19"/>
      <c r="E122" s="57"/>
    </row>
    <row r="123" spans="4:5" ht="13.2">
      <c r="D123" s="19"/>
      <c r="E123" s="57"/>
    </row>
    <row r="124" spans="4:5" ht="13.2">
      <c r="D124" s="19"/>
      <c r="E124" s="57"/>
    </row>
    <row r="125" spans="4:5" ht="13.2">
      <c r="D125" s="19"/>
      <c r="E125" s="57"/>
    </row>
    <row r="126" spans="4:5" ht="13.2">
      <c r="D126" s="19"/>
      <c r="E126" s="57"/>
    </row>
    <row r="127" spans="4:5" ht="13.2">
      <c r="D127" s="19"/>
      <c r="E127" s="57"/>
    </row>
    <row r="128" spans="4:5" ht="13.2">
      <c r="D128" s="19"/>
      <c r="E128" s="57"/>
    </row>
    <row r="129" spans="4:5" ht="13.2">
      <c r="D129" s="19"/>
      <c r="E129" s="57"/>
    </row>
    <row r="130" spans="4:5" ht="13.2">
      <c r="D130" s="19"/>
      <c r="E130" s="57"/>
    </row>
    <row r="131" spans="4:5" ht="13.2">
      <c r="D131" s="19"/>
      <c r="E131" s="57"/>
    </row>
    <row r="132" spans="4:5" ht="13.2">
      <c r="D132" s="19"/>
      <c r="E132" s="57"/>
    </row>
    <row r="133" spans="4:5" ht="13.2">
      <c r="D133" s="19"/>
      <c r="E133" s="57"/>
    </row>
    <row r="134" spans="4:5" ht="13.2">
      <c r="D134" s="19"/>
      <c r="E134" s="57"/>
    </row>
    <row r="135" spans="4:5" ht="13.2">
      <c r="D135" s="19"/>
      <c r="E135" s="57"/>
    </row>
    <row r="136" spans="4:5" ht="13.2">
      <c r="D136" s="19"/>
      <c r="E136" s="57"/>
    </row>
    <row r="137" spans="4:5" ht="13.2">
      <c r="D137" s="19"/>
      <c r="E137" s="57"/>
    </row>
    <row r="138" spans="4:5" ht="13.2">
      <c r="D138" s="19"/>
      <c r="E138" s="57"/>
    </row>
    <row r="139" spans="4:5" ht="13.2">
      <c r="D139" s="19"/>
      <c r="E139" s="57"/>
    </row>
    <row r="140" spans="4:5" ht="13.2">
      <c r="D140" s="19"/>
      <c r="E140" s="57"/>
    </row>
    <row r="141" spans="4:5" ht="13.2">
      <c r="D141" s="19"/>
      <c r="E141" s="57"/>
    </row>
    <row r="142" spans="4:5" ht="13.2">
      <c r="D142" s="19"/>
      <c r="E142" s="57"/>
    </row>
    <row r="143" spans="4:5" ht="13.2">
      <c r="D143" s="19"/>
      <c r="E143" s="57"/>
    </row>
    <row r="144" spans="4:5" ht="13.2">
      <c r="D144" s="19"/>
      <c r="E144" s="57"/>
    </row>
    <row r="145" spans="4:5" ht="13.2">
      <c r="D145" s="19"/>
      <c r="E145" s="57"/>
    </row>
    <row r="146" spans="4:5" ht="13.2">
      <c r="D146" s="19"/>
      <c r="E146" s="57"/>
    </row>
    <row r="147" spans="4:5" ht="13.2">
      <c r="D147" s="19"/>
      <c r="E147" s="57"/>
    </row>
    <row r="148" spans="4:5" ht="13.2">
      <c r="D148" s="19"/>
      <c r="E148" s="57"/>
    </row>
    <row r="149" spans="4:5" ht="13.2">
      <c r="D149" s="19"/>
      <c r="E149" s="57"/>
    </row>
    <row r="150" spans="4:5" ht="13.2">
      <c r="D150" s="19"/>
      <c r="E150" s="57"/>
    </row>
    <row r="151" spans="4:5" ht="13.2">
      <c r="D151" s="19"/>
      <c r="E151" s="57"/>
    </row>
    <row r="152" spans="4:5" ht="13.2">
      <c r="D152" s="19"/>
      <c r="E152" s="57"/>
    </row>
    <row r="153" spans="4:5" ht="13.2">
      <c r="D153" s="19"/>
      <c r="E153" s="57"/>
    </row>
    <row r="154" spans="4:5" ht="13.2">
      <c r="D154" s="19"/>
      <c r="E154" s="57"/>
    </row>
    <row r="155" spans="4:5" ht="13.2">
      <c r="D155" s="19"/>
      <c r="E155" s="57"/>
    </row>
    <row r="156" spans="4:5" ht="13.2">
      <c r="D156" s="19"/>
      <c r="E156" s="57"/>
    </row>
    <row r="157" spans="4:5" ht="13.2">
      <c r="D157" s="19"/>
      <c r="E157" s="57"/>
    </row>
    <row r="158" spans="4:5" ht="13.2">
      <c r="D158" s="19"/>
      <c r="E158" s="57"/>
    </row>
    <row r="159" spans="4:5" ht="13.2">
      <c r="D159" s="19"/>
      <c r="E159" s="57"/>
    </row>
    <row r="160" spans="4:5" ht="13.2">
      <c r="D160" s="19"/>
      <c r="E160" s="57"/>
    </row>
    <row r="161" spans="4:5" ht="13.2">
      <c r="D161" s="19"/>
      <c r="E161" s="57"/>
    </row>
    <row r="162" spans="4:5" ht="13.2">
      <c r="D162" s="19"/>
      <c r="E162" s="57"/>
    </row>
    <row r="163" spans="4:5" ht="13.2">
      <c r="D163" s="19"/>
      <c r="E163" s="57"/>
    </row>
    <row r="164" spans="4:5" ht="13.2">
      <c r="D164" s="19"/>
      <c r="E164" s="57"/>
    </row>
    <row r="165" spans="4:5" ht="13.2">
      <c r="D165" s="19"/>
      <c r="E165" s="57"/>
    </row>
    <row r="166" spans="4:5" ht="13.2">
      <c r="D166" s="19"/>
      <c r="E166" s="57"/>
    </row>
    <row r="167" spans="4:5" ht="13.2">
      <c r="D167" s="19"/>
      <c r="E167" s="57"/>
    </row>
    <row r="168" spans="4:5" ht="13.2">
      <c r="D168" s="19"/>
      <c r="E168" s="57"/>
    </row>
    <row r="169" spans="4:5" ht="13.2">
      <c r="D169" s="19"/>
      <c r="E169" s="57"/>
    </row>
    <row r="170" spans="4:5" ht="13.2">
      <c r="D170" s="19"/>
      <c r="E170" s="57"/>
    </row>
    <row r="171" spans="4:5" ht="13.2">
      <c r="D171" s="19"/>
      <c r="E171" s="57"/>
    </row>
    <row r="172" spans="4:5" ht="13.2">
      <c r="D172" s="19"/>
      <c r="E172" s="57"/>
    </row>
    <row r="173" spans="4:5" ht="13.2">
      <c r="D173" s="19"/>
      <c r="E173" s="57"/>
    </row>
    <row r="174" spans="4:5" ht="13.2">
      <c r="D174" s="19"/>
      <c r="E174" s="57"/>
    </row>
    <row r="175" spans="4:5" ht="13.2">
      <c r="D175" s="19"/>
      <c r="E175" s="57"/>
    </row>
    <row r="176" spans="4:5" ht="13.2">
      <c r="D176" s="19"/>
      <c r="E176" s="57"/>
    </row>
    <row r="177" spans="4:5" ht="13.2">
      <c r="D177" s="19"/>
      <c r="E177" s="57"/>
    </row>
    <row r="178" spans="4:5" ht="13.2">
      <c r="D178" s="19"/>
      <c r="E178" s="57"/>
    </row>
    <row r="179" spans="4:5" ht="13.2">
      <c r="D179" s="19"/>
      <c r="E179" s="57"/>
    </row>
    <row r="180" spans="4:5" ht="13.2">
      <c r="D180" s="19"/>
      <c r="E180" s="57"/>
    </row>
    <row r="181" spans="4:5" ht="13.2">
      <c r="D181" s="19"/>
      <c r="E181" s="57"/>
    </row>
    <row r="182" spans="4:5" ht="13.2">
      <c r="D182" s="19"/>
      <c r="E182" s="57"/>
    </row>
    <row r="183" spans="4:5" ht="13.2">
      <c r="D183" s="19"/>
      <c r="E183" s="57"/>
    </row>
    <row r="184" spans="4:5" ht="13.2">
      <c r="D184" s="19"/>
      <c r="E184" s="57"/>
    </row>
    <row r="185" spans="4:5" ht="13.2">
      <c r="D185" s="19"/>
      <c r="E185" s="57"/>
    </row>
    <row r="186" spans="4:5" ht="13.2">
      <c r="D186" s="19"/>
      <c r="E186" s="57"/>
    </row>
    <row r="187" spans="4:5" ht="13.2">
      <c r="D187" s="19"/>
      <c r="E187" s="57"/>
    </row>
    <row r="188" spans="4:5" ht="13.2">
      <c r="D188" s="19"/>
      <c r="E188" s="57"/>
    </row>
    <row r="189" spans="4:5" ht="13.2">
      <c r="D189" s="19"/>
      <c r="E189" s="57"/>
    </row>
    <row r="190" spans="4:5" ht="13.2">
      <c r="D190" s="19"/>
      <c r="E190" s="57"/>
    </row>
    <row r="191" spans="4:5" ht="13.2">
      <c r="D191" s="19"/>
      <c r="E191" s="57"/>
    </row>
    <row r="192" spans="4:5" ht="13.2">
      <c r="D192" s="19"/>
      <c r="E192" s="57"/>
    </row>
    <row r="193" spans="4:5" ht="13.2">
      <c r="D193" s="19"/>
      <c r="E193" s="57"/>
    </row>
    <row r="194" spans="4:5" ht="13.2">
      <c r="D194" s="19"/>
      <c r="E194" s="57"/>
    </row>
    <row r="195" spans="4:5" ht="13.2">
      <c r="D195" s="19"/>
      <c r="E195" s="57"/>
    </row>
    <row r="196" spans="4:5" ht="13.2">
      <c r="D196" s="19"/>
      <c r="E196" s="57"/>
    </row>
    <row r="197" spans="4:5" ht="13.2">
      <c r="D197" s="19"/>
      <c r="E197" s="57"/>
    </row>
    <row r="198" spans="4:5" ht="13.2">
      <c r="D198" s="19"/>
      <c r="E198" s="57"/>
    </row>
    <row r="199" spans="4:5" ht="13.2">
      <c r="D199" s="19"/>
      <c r="E199" s="57"/>
    </row>
    <row r="200" spans="4:5" ht="13.2">
      <c r="D200" s="19"/>
      <c r="E200" s="57"/>
    </row>
    <row r="201" spans="4:5" ht="13.2">
      <c r="D201" s="19"/>
      <c r="E201" s="57"/>
    </row>
    <row r="202" spans="4:5" ht="13.2">
      <c r="D202" s="19"/>
      <c r="E202" s="57"/>
    </row>
    <row r="203" spans="4:5" ht="13.2">
      <c r="D203" s="19"/>
      <c r="E203" s="57"/>
    </row>
    <row r="204" spans="4:5" ht="13.2">
      <c r="D204" s="19"/>
      <c r="E204" s="57"/>
    </row>
    <row r="205" spans="4:5" ht="13.2">
      <c r="D205" s="19"/>
      <c r="E205" s="57"/>
    </row>
    <row r="206" spans="4:5" ht="13.2">
      <c r="D206" s="19"/>
      <c r="E206" s="57"/>
    </row>
    <row r="207" spans="4:5" ht="13.2">
      <c r="D207" s="19"/>
      <c r="E207" s="57"/>
    </row>
    <row r="208" spans="4:5" ht="13.2">
      <c r="D208" s="19"/>
      <c r="E208" s="57"/>
    </row>
    <row r="209" spans="4:5" ht="13.2">
      <c r="D209" s="19"/>
      <c r="E209" s="57"/>
    </row>
    <row r="210" spans="4:5" ht="13.2">
      <c r="D210" s="19"/>
      <c r="E210" s="57"/>
    </row>
    <row r="211" spans="4:5" ht="13.2">
      <c r="D211" s="19"/>
      <c r="E211" s="57"/>
    </row>
    <row r="212" spans="4:5" ht="13.2">
      <c r="D212" s="19"/>
      <c r="E212" s="57"/>
    </row>
    <row r="213" spans="4:5" ht="13.2">
      <c r="D213" s="19"/>
      <c r="E213" s="57"/>
    </row>
    <row r="214" spans="4:5" ht="13.2">
      <c r="D214" s="19"/>
      <c r="E214" s="57"/>
    </row>
    <row r="215" spans="4:5" ht="13.2">
      <c r="D215" s="19"/>
      <c r="E215" s="57"/>
    </row>
    <row r="216" spans="4:5" ht="13.2">
      <c r="D216" s="19"/>
      <c r="E216" s="57"/>
    </row>
    <row r="217" spans="4:5" ht="13.2">
      <c r="D217" s="19"/>
      <c r="E217" s="57"/>
    </row>
    <row r="218" spans="4:5" ht="13.2">
      <c r="D218" s="19"/>
      <c r="E218" s="57"/>
    </row>
    <row r="219" spans="4:5" ht="13.2">
      <c r="D219" s="19"/>
      <c r="E219" s="57"/>
    </row>
    <row r="220" spans="4:5" ht="13.2">
      <c r="D220" s="19"/>
      <c r="E220" s="57"/>
    </row>
    <row r="221" spans="4:5" ht="13.2">
      <c r="D221" s="19"/>
      <c r="E221" s="57"/>
    </row>
    <row r="222" spans="4:5" ht="13.2">
      <c r="D222" s="19"/>
      <c r="E222" s="57"/>
    </row>
    <row r="223" spans="4:5" ht="13.2">
      <c r="D223" s="19"/>
      <c r="E223" s="57"/>
    </row>
    <row r="224" spans="4:5" ht="13.2">
      <c r="D224" s="19"/>
      <c r="E224" s="57"/>
    </row>
    <row r="225" spans="4:5" ht="13.2">
      <c r="D225" s="19"/>
      <c r="E225" s="57"/>
    </row>
    <row r="226" spans="4:5" ht="13.2">
      <c r="D226" s="19"/>
      <c r="E226" s="57"/>
    </row>
    <row r="227" spans="4:5" ht="13.2">
      <c r="D227" s="19"/>
      <c r="E227" s="57"/>
    </row>
    <row r="228" spans="4:5" ht="13.2">
      <c r="D228" s="19"/>
      <c r="E228" s="57"/>
    </row>
    <row r="229" spans="4:5" ht="13.2">
      <c r="D229" s="19"/>
      <c r="E229" s="57"/>
    </row>
    <row r="230" spans="4:5" ht="13.2">
      <c r="D230" s="19"/>
      <c r="E230" s="57"/>
    </row>
    <row r="231" spans="4:5" ht="13.2">
      <c r="D231" s="19"/>
      <c r="E231" s="57"/>
    </row>
    <row r="232" spans="4:5" ht="13.2">
      <c r="D232" s="19"/>
      <c r="E232" s="57"/>
    </row>
    <row r="233" spans="4:5" ht="13.2">
      <c r="D233" s="19"/>
      <c r="E233" s="57"/>
    </row>
    <row r="234" spans="4:5" ht="13.2">
      <c r="D234" s="19"/>
      <c r="E234" s="57"/>
    </row>
    <row r="235" spans="4:5" ht="13.2">
      <c r="D235" s="19"/>
      <c r="E235" s="57"/>
    </row>
    <row r="236" spans="4:5" ht="13.2">
      <c r="D236" s="19"/>
      <c r="E236" s="57"/>
    </row>
    <row r="237" spans="4:5" ht="13.2">
      <c r="D237" s="19"/>
      <c r="E237" s="57"/>
    </row>
    <row r="238" spans="4:5" ht="13.2">
      <c r="D238" s="19"/>
      <c r="E238" s="57"/>
    </row>
    <row r="239" spans="4:5" ht="13.2">
      <c r="D239" s="19"/>
      <c r="E239" s="57"/>
    </row>
    <row r="240" spans="4:5" ht="13.2">
      <c r="D240" s="19"/>
      <c r="E240" s="57"/>
    </row>
    <row r="241" spans="4:5" ht="13.2">
      <c r="D241" s="19"/>
      <c r="E241" s="57"/>
    </row>
    <row r="242" spans="4:5" ht="13.2">
      <c r="D242" s="19"/>
      <c r="E242" s="57"/>
    </row>
    <row r="243" spans="4:5" ht="13.2">
      <c r="D243" s="19"/>
      <c r="E243" s="57"/>
    </row>
    <row r="244" spans="4:5" ht="13.2">
      <c r="D244" s="19"/>
      <c r="E244" s="57"/>
    </row>
    <row r="245" spans="4:5" ht="13.2">
      <c r="D245" s="19"/>
      <c r="E245" s="57"/>
    </row>
    <row r="246" spans="4:5" ht="13.2">
      <c r="D246" s="19"/>
      <c r="E246" s="57"/>
    </row>
    <row r="247" spans="4:5" ht="13.2">
      <c r="D247" s="19"/>
      <c r="E247" s="57"/>
    </row>
    <row r="248" spans="4:5" ht="13.2">
      <c r="D248" s="19"/>
      <c r="E248" s="57"/>
    </row>
    <row r="249" spans="4:5" ht="13.2">
      <c r="D249" s="19"/>
      <c r="E249" s="57"/>
    </row>
    <row r="250" spans="4:5" ht="13.2">
      <c r="D250" s="19"/>
      <c r="E250" s="57"/>
    </row>
    <row r="251" spans="4:5" ht="13.2">
      <c r="D251" s="19"/>
      <c r="E251" s="57"/>
    </row>
    <row r="252" spans="4:5" ht="13.2">
      <c r="D252" s="19"/>
      <c r="E252" s="57"/>
    </row>
    <row r="253" spans="4:5" ht="13.2">
      <c r="D253" s="19"/>
      <c r="E253" s="57"/>
    </row>
    <row r="254" spans="4:5" ht="13.2">
      <c r="D254" s="19"/>
      <c r="E254" s="57"/>
    </row>
    <row r="255" spans="4:5" ht="13.2">
      <c r="D255" s="19"/>
      <c r="E255" s="57"/>
    </row>
    <row r="256" spans="4:5" ht="13.2">
      <c r="D256" s="19"/>
      <c r="E256" s="57"/>
    </row>
    <row r="257" spans="4:5" ht="13.2">
      <c r="D257" s="19"/>
      <c r="E257" s="57"/>
    </row>
    <row r="258" spans="4:5" ht="13.2">
      <c r="D258" s="19"/>
      <c r="E258" s="57"/>
    </row>
    <row r="259" spans="4:5" ht="13.2">
      <c r="D259" s="19"/>
      <c r="E259" s="57"/>
    </row>
    <row r="260" spans="4:5" ht="13.2">
      <c r="D260" s="19"/>
      <c r="E260" s="57"/>
    </row>
    <row r="261" spans="4:5" ht="13.2">
      <c r="D261" s="19"/>
      <c r="E261" s="57"/>
    </row>
    <row r="262" spans="4:5" ht="13.2">
      <c r="D262" s="19"/>
      <c r="E262" s="57"/>
    </row>
    <row r="263" spans="4:5" ht="13.2">
      <c r="D263" s="19"/>
      <c r="E263" s="57"/>
    </row>
    <row r="264" spans="4:5" ht="13.2">
      <c r="D264" s="19"/>
      <c r="E264" s="57"/>
    </row>
    <row r="265" spans="4:5" ht="13.2">
      <c r="D265" s="19"/>
      <c r="E265" s="57"/>
    </row>
    <row r="266" spans="4:5" ht="13.2">
      <c r="D266" s="19"/>
      <c r="E266" s="57"/>
    </row>
    <row r="267" spans="4:5" ht="13.2">
      <c r="D267" s="19"/>
      <c r="E267" s="57"/>
    </row>
    <row r="268" spans="4:5" ht="13.2">
      <c r="D268" s="19"/>
      <c r="E268" s="57"/>
    </row>
    <row r="269" spans="4:5" ht="13.2">
      <c r="D269" s="19"/>
      <c r="E269" s="57"/>
    </row>
    <row r="270" spans="4:5" ht="13.2">
      <c r="D270" s="19"/>
      <c r="E270" s="57"/>
    </row>
    <row r="271" spans="4:5" ht="13.2">
      <c r="D271" s="19"/>
      <c r="E271" s="57"/>
    </row>
    <row r="272" spans="4:5" ht="13.2">
      <c r="D272" s="19"/>
      <c r="E272" s="57"/>
    </row>
    <row r="273" spans="4:5" ht="13.2">
      <c r="D273" s="19"/>
      <c r="E273" s="57"/>
    </row>
    <row r="274" spans="4:5" ht="13.2">
      <c r="D274" s="19"/>
      <c r="E274" s="57"/>
    </row>
    <row r="275" spans="4:5" ht="13.2">
      <c r="D275" s="19"/>
      <c r="E275" s="57"/>
    </row>
    <row r="276" spans="4:5" ht="13.2">
      <c r="D276" s="19"/>
      <c r="E276" s="57"/>
    </row>
    <row r="277" spans="4:5" ht="13.2">
      <c r="D277" s="19"/>
      <c r="E277" s="57"/>
    </row>
    <row r="278" spans="4:5" ht="13.2">
      <c r="D278" s="19"/>
      <c r="E278" s="57"/>
    </row>
    <row r="279" spans="4:5" ht="13.2">
      <c r="D279" s="19"/>
      <c r="E279" s="57"/>
    </row>
    <row r="280" spans="4:5" ht="13.2">
      <c r="D280" s="19"/>
      <c r="E280" s="57"/>
    </row>
    <row r="281" spans="4:5" ht="13.2">
      <c r="D281" s="19"/>
      <c r="E281" s="57"/>
    </row>
    <row r="282" spans="4:5" ht="13.2">
      <c r="D282" s="19"/>
      <c r="E282" s="57"/>
    </row>
    <row r="283" spans="4:5" ht="13.2">
      <c r="D283" s="19"/>
      <c r="E283" s="57"/>
    </row>
    <row r="284" spans="4:5" ht="13.2">
      <c r="D284" s="19"/>
      <c r="E284" s="57"/>
    </row>
    <row r="285" spans="4:5" ht="13.2">
      <c r="D285" s="19"/>
      <c r="E285" s="57"/>
    </row>
    <row r="286" spans="4:5" ht="13.2">
      <c r="D286" s="19"/>
      <c r="E286" s="57"/>
    </row>
    <row r="287" spans="4:5" ht="13.2">
      <c r="D287" s="19"/>
      <c r="E287" s="57"/>
    </row>
    <row r="288" spans="4:5" ht="13.2">
      <c r="D288" s="19"/>
      <c r="E288" s="57"/>
    </row>
    <row r="289" spans="4:5" ht="13.2">
      <c r="D289" s="19"/>
      <c r="E289" s="57"/>
    </row>
    <row r="290" spans="4:5" ht="13.2">
      <c r="D290" s="19"/>
      <c r="E290" s="57"/>
    </row>
    <row r="291" spans="4:5" ht="13.2">
      <c r="D291" s="19"/>
      <c r="E291" s="57"/>
    </row>
    <row r="292" spans="4:5" ht="13.2">
      <c r="D292" s="19"/>
      <c r="E292" s="57"/>
    </row>
    <row r="293" spans="4:5" ht="13.2">
      <c r="D293" s="19"/>
      <c r="E293" s="57"/>
    </row>
    <row r="294" spans="4:5" ht="13.2">
      <c r="D294" s="19"/>
      <c r="E294" s="57"/>
    </row>
    <row r="295" spans="4:5" ht="13.2">
      <c r="D295" s="19"/>
      <c r="E295" s="57"/>
    </row>
    <row r="296" spans="4:5" ht="13.2">
      <c r="D296" s="19"/>
      <c r="E296" s="57"/>
    </row>
    <row r="297" spans="4:5" ht="13.2">
      <c r="D297" s="19"/>
      <c r="E297" s="57"/>
    </row>
    <row r="298" spans="4:5" ht="13.2">
      <c r="D298" s="19"/>
      <c r="E298" s="57"/>
    </row>
    <row r="299" spans="4:5" ht="13.2">
      <c r="D299" s="19"/>
      <c r="E299" s="57"/>
    </row>
    <row r="300" spans="4:5" ht="13.2">
      <c r="D300" s="19"/>
      <c r="E300" s="57"/>
    </row>
    <row r="301" spans="4:5" ht="13.2">
      <c r="D301" s="19"/>
      <c r="E301" s="57"/>
    </row>
    <row r="302" spans="4:5" ht="13.2">
      <c r="D302" s="19"/>
      <c r="E302" s="57"/>
    </row>
    <row r="303" spans="4:5" ht="13.2">
      <c r="D303" s="19"/>
      <c r="E303" s="57"/>
    </row>
    <row r="304" spans="4:5" ht="13.2">
      <c r="D304" s="19"/>
      <c r="E304" s="57"/>
    </row>
    <row r="305" spans="4:5" ht="13.2">
      <c r="D305" s="19"/>
      <c r="E305" s="57"/>
    </row>
    <row r="306" spans="4:5" ht="13.2">
      <c r="D306" s="19"/>
      <c r="E306" s="57"/>
    </row>
    <row r="307" spans="4:5" ht="13.2">
      <c r="D307" s="19"/>
      <c r="E307" s="57"/>
    </row>
    <row r="308" spans="4:5" ht="13.2">
      <c r="D308" s="19"/>
      <c r="E308" s="57"/>
    </row>
    <row r="309" spans="4:5" ht="13.2">
      <c r="D309" s="19"/>
      <c r="E309" s="57"/>
    </row>
    <row r="310" spans="4:5" ht="13.2">
      <c r="D310" s="19"/>
      <c r="E310" s="57"/>
    </row>
    <row r="311" spans="4:5" ht="13.2">
      <c r="D311" s="19"/>
      <c r="E311" s="57"/>
    </row>
    <row r="312" spans="4:5" ht="13.2">
      <c r="D312" s="19"/>
      <c r="E312" s="57"/>
    </row>
    <row r="313" spans="4:5" ht="13.2">
      <c r="D313" s="19"/>
      <c r="E313" s="57"/>
    </row>
    <row r="314" spans="4:5" ht="13.2">
      <c r="D314" s="19"/>
      <c r="E314" s="57"/>
    </row>
    <row r="315" spans="4:5" ht="13.2">
      <c r="D315" s="19"/>
      <c r="E315" s="57"/>
    </row>
    <row r="316" spans="4:5" ht="13.2">
      <c r="D316" s="19"/>
      <c r="E316" s="57"/>
    </row>
    <row r="317" spans="4:5" ht="13.2">
      <c r="D317" s="19"/>
      <c r="E317" s="57"/>
    </row>
    <row r="318" spans="4:5" ht="13.2">
      <c r="D318" s="19"/>
      <c r="E318" s="57"/>
    </row>
    <row r="319" spans="4:5" ht="13.2">
      <c r="D319" s="19"/>
      <c r="E319" s="57"/>
    </row>
    <row r="320" spans="4:5" ht="13.2">
      <c r="D320" s="19"/>
      <c r="E320" s="57"/>
    </row>
    <row r="321" spans="4:5" ht="13.2">
      <c r="D321" s="19"/>
      <c r="E321" s="57"/>
    </row>
    <row r="322" spans="4:5" ht="13.2">
      <c r="D322" s="19"/>
      <c r="E322" s="57"/>
    </row>
    <row r="323" spans="4:5" ht="13.2">
      <c r="D323" s="19"/>
      <c r="E323" s="57"/>
    </row>
    <row r="324" spans="4:5" ht="13.2">
      <c r="D324" s="19"/>
      <c r="E324" s="57"/>
    </row>
    <row r="325" spans="4:5" ht="13.2">
      <c r="D325" s="19"/>
      <c r="E325" s="57"/>
    </row>
    <row r="326" spans="4:5" ht="13.2">
      <c r="D326" s="19"/>
      <c r="E326" s="57"/>
    </row>
    <row r="327" spans="4:5" ht="13.2">
      <c r="D327" s="19"/>
      <c r="E327" s="57"/>
    </row>
    <row r="328" spans="4:5" ht="13.2">
      <c r="D328" s="19"/>
      <c r="E328" s="57"/>
    </row>
    <row r="329" spans="4:5" ht="13.2">
      <c r="D329" s="19"/>
      <c r="E329" s="57"/>
    </row>
    <row r="330" spans="4:5" ht="13.2">
      <c r="D330" s="19"/>
      <c r="E330" s="57"/>
    </row>
    <row r="331" spans="4:5" ht="13.2">
      <c r="D331" s="19"/>
      <c r="E331" s="57"/>
    </row>
    <row r="332" spans="4:5" ht="13.2">
      <c r="D332" s="19"/>
      <c r="E332" s="57"/>
    </row>
    <row r="333" spans="4:5" ht="13.2">
      <c r="D333" s="19"/>
      <c r="E333" s="57"/>
    </row>
    <row r="334" spans="4:5" ht="13.2">
      <c r="D334" s="19"/>
      <c r="E334" s="57"/>
    </row>
    <row r="335" spans="4:5" ht="13.2">
      <c r="D335" s="19"/>
      <c r="E335" s="57"/>
    </row>
    <row r="336" spans="4:5" ht="13.2">
      <c r="D336" s="19"/>
      <c r="E336" s="57"/>
    </row>
    <row r="337" spans="4:5" ht="13.2">
      <c r="D337" s="19"/>
      <c r="E337" s="57"/>
    </row>
    <row r="338" spans="4:5" ht="13.2">
      <c r="D338" s="19"/>
      <c r="E338" s="57"/>
    </row>
    <row r="339" spans="4:5" ht="13.2">
      <c r="D339" s="19"/>
      <c r="E339" s="57"/>
    </row>
    <row r="340" spans="4:5" ht="13.2">
      <c r="D340" s="19"/>
      <c r="E340" s="57"/>
    </row>
    <row r="341" spans="4:5" ht="13.2">
      <c r="D341" s="19"/>
      <c r="E341" s="57"/>
    </row>
    <row r="342" spans="4:5" ht="13.2">
      <c r="D342" s="19"/>
      <c r="E342" s="57"/>
    </row>
    <row r="343" spans="4:5" ht="13.2">
      <c r="D343" s="19"/>
      <c r="E343" s="57"/>
    </row>
    <row r="344" spans="4:5" ht="13.2">
      <c r="D344" s="19"/>
      <c r="E344" s="57"/>
    </row>
    <row r="345" spans="4:5" ht="13.2">
      <c r="D345" s="19"/>
      <c r="E345" s="57"/>
    </row>
    <row r="346" spans="4:5" ht="13.2">
      <c r="D346" s="19"/>
      <c r="E346" s="57"/>
    </row>
    <row r="347" spans="4:5" ht="13.2">
      <c r="D347" s="19"/>
      <c r="E347" s="57"/>
    </row>
    <row r="348" spans="4:5" ht="13.2">
      <c r="D348" s="19"/>
      <c r="E348" s="57"/>
    </row>
    <row r="349" spans="4:5" ht="13.2">
      <c r="D349" s="19"/>
      <c r="E349" s="57"/>
    </row>
    <row r="350" spans="4:5" ht="13.2">
      <c r="D350" s="19"/>
      <c r="E350" s="57"/>
    </row>
    <row r="351" spans="4:5" ht="13.2">
      <c r="D351" s="19"/>
      <c r="E351" s="57"/>
    </row>
    <row r="352" spans="4:5" ht="13.2">
      <c r="D352" s="19"/>
      <c r="E352" s="57"/>
    </row>
    <row r="353" spans="4:5" ht="13.2">
      <c r="D353" s="19"/>
      <c r="E353" s="57"/>
    </row>
    <row r="354" spans="4:5" ht="13.2">
      <c r="D354" s="19"/>
      <c r="E354" s="57"/>
    </row>
    <row r="355" spans="4:5" ht="13.2">
      <c r="D355" s="19"/>
      <c r="E355" s="57"/>
    </row>
    <row r="356" spans="4:5" ht="13.2">
      <c r="D356" s="19"/>
      <c r="E356" s="57"/>
    </row>
    <row r="357" spans="4:5" ht="13.2">
      <c r="D357" s="19"/>
      <c r="E357" s="57"/>
    </row>
    <row r="358" spans="4:5" ht="13.2">
      <c r="D358" s="19"/>
      <c r="E358" s="57"/>
    </row>
    <row r="359" spans="4:5" ht="13.2">
      <c r="D359" s="19"/>
      <c r="E359" s="57"/>
    </row>
    <row r="360" spans="4:5" ht="13.2">
      <c r="D360" s="19"/>
      <c r="E360" s="57"/>
    </row>
    <row r="361" spans="4:5" ht="13.2">
      <c r="D361" s="19"/>
      <c r="E361" s="57"/>
    </row>
    <row r="362" spans="4:5" ht="13.2">
      <c r="D362" s="19"/>
      <c r="E362" s="57"/>
    </row>
    <row r="363" spans="4:5" ht="13.2">
      <c r="D363" s="19"/>
      <c r="E363" s="57"/>
    </row>
    <row r="364" spans="4:5" ht="13.2">
      <c r="D364" s="19"/>
      <c r="E364" s="57"/>
    </row>
    <row r="365" spans="4:5" ht="13.2">
      <c r="D365" s="19"/>
      <c r="E365" s="57"/>
    </row>
    <row r="366" spans="4:5" ht="13.2">
      <c r="D366" s="19"/>
      <c r="E366" s="57"/>
    </row>
    <row r="367" spans="4:5" ht="13.2">
      <c r="D367" s="19"/>
      <c r="E367" s="57"/>
    </row>
    <row r="368" spans="4:5" ht="13.2">
      <c r="D368" s="19"/>
      <c r="E368" s="57"/>
    </row>
    <row r="369" spans="4:5" ht="13.2">
      <c r="D369" s="19"/>
      <c r="E369" s="57"/>
    </row>
    <row r="370" spans="4:5" ht="13.2">
      <c r="D370" s="19"/>
      <c r="E370" s="57"/>
    </row>
    <row r="371" spans="4:5" ht="13.2">
      <c r="D371" s="19"/>
      <c r="E371" s="57"/>
    </row>
    <row r="372" spans="4:5" ht="13.2">
      <c r="D372" s="19"/>
      <c r="E372" s="57"/>
    </row>
    <row r="373" spans="4:5" ht="13.2">
      <c r="D373" s="19"/>
      <c r="E373" s="57"/>
    </row>
    <row r="374" spans="4:5" ht="13.2">
      <c r="D374" s="19"/>
      <c r="E374" s="57"/>
    </row>
    <row r="375" spans="4:5" ht="13.2">
      <c r="D375" s="19"/>
      <c r="E375" s="57"/>
    </row>
    <row r="376" spans="4:5" ht="13.2">
      <c r="D376" s="19"/>
      <c r="E376" s="57"/>
    </row>
    <row r="377" spans="4:5" ht="13.2">
      <c r="D377" s="19"/>
      <c r="E377" s="57"/>
    </row>
    <row r="378" spans="4:5" ht="13.2">
      <c r="D378" s="19"/>
      <c r="E378" s="57"/>
    </row>
    <row r="379" spans="4:5" ht="13.2">
      <c r="D379" s="19"/>
      <c r="E379" s="57"/>
    </row>
    <row r="380" spans="4:5" ht="13.2">
      <c r="D380" s="19"/>
      <c r="E380" s="57"/>
    </row>
    <row r="381" spans="4:5" ht="13.2">
      <c r="D381" s="19"/>
      <c r="E381" s="57"/>
    </row>
    <row r="382" spans="4:5" ht="13.2">
      <c r="D382" s="19"/>
      <c r="E382" s="57"/>
    </row>
    <row r="383" spans="4:5" ht="13.2">
      <c r="D383" s="19"/>
      <c r="E383" s="57"/>
    </row>
    <row r="384" spans="4:5" ht="13.2">
      <c r="D384" s="19"/>
      <c r="E384" s="57"/>
    </row>
    <row r="385" spans="4:5" ht="13.2">
      <c r="D385" s="19"/>
      <c r="E385" s="57"/>
    </row>
    <row r="386" spans="4:5" ht="13.2">
      <c r="D386" s="19"/>
      <c r="E386" s="57"/>
    </row>
    <row r="387" spans="4:5" ht="13.2">
      <c r="D387" s="19"/>
      <c r="E387" s="57"/>
    </row>
    <row r="388" spans="4:5" ht="13.2">
      <c r="D388" s="19"/>
      <c r="E388" s="57"/>
    </row>
    <row r="389" spans="4:5" ht="13.2">
      <c r="D389" s="19"/>
      <c r="E389" s="57"/>
    </row>
    <row r="390" spans="4:5" ht="13.2">
      <c r="D390" s="19"/>
      <c r="E390" s="57"/>
    </row>
    <row r="391" spans="4:5" ht="13.2">
      <c r="D391" s="19"/>
      <c r="E391" s="57"/>
    </row>
    <row r="392" spans="4:5" ht="13.2">
      <c r="D392" s="19"/>
      <c r="E392" s="57"/>
    </row>
    <row r="393" spans="4:5" ht="13.2">
      <c r="D393" s="19"/>
      <c r="E393" s="57"/>
    </row>
    <row r="394" spans="4:5" ht="13.2">
      <c r="D394" s="19"/>
      <c r="E394" s="57"/>
    </row>
    <row r="395" spans="4:5" ht="13.2">
      <c r="D395" s="19"/>
      <c r="E395" s="57"/>
    </row>
    <row r="396" spans="4:5" ht="13.2">
      <c r="D396" s="19"/>
      <c r="E396" s="57"/>
    </row>
    <row r="397" spans="4:5" ht="13.2">
      <c r="D397" s="19"/>
      <c r="E397" s="57"/>
    </row>
    <row r="398" spans="4:5" ht="13.2">
      <c r="D398" s="19"/>
      <c r="E398" s="57"/>
    </row>
    <row r="399" spans="4:5" ht="13.2">
      <c r="D399" s="19"/>
      <c r="E399" s="57"/>
    </row>
    <row r="400" spans="4:5" ht="13.2">
      <c r="D400" s="19"/>
      <c r="E400" s="57"/>
    </row>
    <row r="401" spans="4:5" ht="13.2">
      <c r="D401" s="19"/>
      <c r="E401" s="57"/>
    </row>
    <row r="402" spans="4:5" ht="13.2">
      <c r="D402" s="19"/>
      <c r="E402" s="57"/>
    </row>
    <row r="403" spans="4:5" ht="13.2">
      <c r="D403" s="19"/>
      <c r="E403" s="57"/>
    </row>
    <row r="404" spans="4:5" ht="13.2">
      <c r="D404" s="19"/>
      <c r="E404" s="57"/>
    </row>
    <row r="405" spans="4:5" ht="13.2">
      <c r="D405" s="19"/>
      <c r="E405" s="57"/>
    </row>
    <row r="406" spans="4:5" ht="13.2">
      <c r="D406" s="19"/>
      <c r="E406" s="57"/>
    </row>
    <row r="407" spans="4:5" ht="13.2">
      <c r="D407" s="19"/>
      <c r="E407" s="57"/>
    </row>
    <row r="408" spans="4:5" ht="13.2">
      <c r="D408" s="19"/>
      <c r="E408" s="57"/>
    </row>
    <row r="409" spans="4:5" ht="13.2">
      <c r="D409" s="19"/>
      <c r="E409" s="57"/>
    </row>
    <row r="410" spans="4:5" ht="13.2">
      <c r="D410" s="19"/>
      <c r="E410" s="57"/>
    </row>
    <row r="411" spans="4:5" ht="13.2">
      <c r="D411" s="19"/>
      <c r="E411" s="57"/>
    </row>
    <row r="412" spans="4:5" ht="13.2">
      <c r="D412" s="19"/>
      <c r="E412" s="57"/>
    </row>
    <row r="413" spans="4:5" ht="13.2">
      <c r="D413" s="19"/>
      <c r="E413" s="57"/>
    </row>
    <row r="414" spans="4:5" ht="13.2">
      <c r="D414" s="19"/>
      <c r="E414" s="57"/>
    </row>
    <row r="415" spans="4:5" ht="13.2">
      <c r="D415" s="19"/>
      <c r="E415" s="57"/>
    </row>
    <row r="416" spans="4:5" ht="13.2">
      <c r="D416" s="19"/>
      <c r="E416" s="57"/>
    </row>
    <row r="417" spans="4:5" ht="13.2">
      <c r="D417" s="19"/>
      <c r="E417" s="57"/>
    </row>
    <row r="418" spans="4:5" ht="13.2">
      <c r="D418" s="19"/>
      <c r="E418" s="57"/>
    </row>
    <row r="419" spans="4:5" ht="13.2">
      <c r="D419" s="19"/>
      <c r="E419" s="57"/>
    </row>
    <row r="420" spans="4:5" ht="13.2">
      <c r="D420" s="19"/>
      <c r="E420" s="57"/>
    </row>
    <row r="421" spans="4:5" ht="13.2">
      <c r="D421" s="19"/>
      <c r="E421" s="57"/>
    </row>
    <row r="422" spans="4:5" ht="13.2">
      <c r="D422" s="19"/>
      <c r="E422" s="57"/>
    </row>
    <row r="423" spans="4:5" ht="13.2">
      <c r="D423" s="19"/>
      <c r="E423" s="57"/>
    </row>
    <row r="424" spans="4:5" ht="13.2">
      <c r="D424" s="19"/>
      <c r="E424" s="57"/>
    </row>
    <row r="425" spans="4:5" ht="13.2">
      <c r="D425" s="19"/>
      <c r="E425" s="57"/>
    </row>
    <row r="426" spans="4:5" ht="13.2">
      <c r="D426" s="19"/>
      <c r="E426" s="57"/>
    </row>
    <row r="427" spans="4:5" ht="13.2">
      <c r="D427" s="19"/>
      <c r="E427" s="57"/>
    </row>
    <row r="428" spans="4:5" ht="13.2">
      <c r="D428" s="19"/>
      <c r="E428" s="57"/>
    </row>
    <row r="429" spans="4:5" ht="13.2">
      <c r="D429" s="19"/>
      <c r="E429" s="57"/>
    </row>
    <row r="430" spans="4:5" ht="13.2">
      <c r="D430" s="19"/>
      <c r="E430" s="57"/>
    </row>
    <row r="431" spans="4:5" ht="13.2">
      <c r="D431" s="19"/>
      <c r="E431" s="57"/>
    </row>
    <row r="432" spans="4:5" ht="13.2">
      <c r="D432" s="19"/>
      <c r="E432" s="57"/>
    </row>
    <row r="433" spans="4:5" ht="13.2">
      <c r="D433" s="19"/>
      <c r="E433" s="57"/>
    </row>
    <row r="434" spans="4:5" ht="13.2">
      <c r="D434" s="19"/>
      <c r="E434" s="57"/>
    </row>
    <row r="435" spans="4:5" ht="13.2">
      <c r="D435" s="19"/>
      <c r="E435" s="57"/>
    </row>
    <row r="436" spans="4:5" ht="13.2">
      <c r="D436" s="19"/>
      <c r="E436" s="57"/>
    </row>
    <row r="437" spans="4:5" ht="13.2">
      <c r="D437" s="19"/>
      <c r="E437" s="57"/>
    </row>
    <row r="438" spans="4:5" ht="13.2">
      <c r="D438" s="19"/>
      <c r="E438" s="57"/>
    </row>
    <row r="439" spans="4:5" ht="13.2">
      <c r="D439" s="19"/>
      <c r="E439" s="57"/>
    </row>
    <row r="440" spans="4:5" ht="13.2">
      <c r="D440" s="19"/>
      <c r="E440" s="57"/>
    </row>
    <row r="441" spans="4:5" ht="13.2">
      <c r="D441" s="19"/>
      <c r="E441" s="57"/>
    </row>
    <row r="442" spans="4:5" ht="13.2">
      <c r="D442" s="19"/>
      <c r="E442" s="57"/>
    </row>
    <row r="443" spans="4:5" ht="13.2">
      <c r="D443" s="19"/>
      <c r="E443" s="57"/>
    </row>
    <row r="444" spans="4:5" ht="13.2">
      <c r="D444" s="19"/>
      <c r="E444" s="57"/>
    </row>
    <row r="445" spans="4:5" ht="13.2">
      <c r="D445" s="19"/>
      <c r="E445" s="57"/>
    </row>
    <row r="446" spans="4:5" ht="13.2">
      <c r="D446" s="19"/>
      <c r="E446" s="57"/>
    </row>
    <row r="447" spans="4:5" ht="13.2">
      <c r="D447" s="19"/>
      <c r="E447" s="57"/>
    </row>
    <row r="448" spans="4:5" ht="13.2">
      <c r="D448" s="19"/>
      <c r="E448" s="57"/>
    </row>
    <row r="449" spans="4:5" ht="13.2">
      <c r="D449" s="19"/>
      <c r="E449" s="57"/>
    </row>
    <row r="450" spans="4:5" ht="13.2">
      <c r="D450" s="19"/>
      <c r="E450" s="57"/>
    </row>
    <row r="451" spans="4:5" ht="13.2">
      <c r="D451" s="19"/>
      <c r="E451" s="57"/>
    </row>
    <row r="452" spans="4:5" ht="13.2">
      <c r="D452" s="19"/>
      <c r="E452" s="57"/>
    </row>
    <row r="453" spans="4:5" ht="13.2">
      <c r="D453" s="19"/>
      <c r="E453" s="57"/>
    </row>
    <row r="454" spans="4:5" ht="13.2">
      <c r="D454" s="19"/>
      <c r="E454" s="57"/>
    </row>
    <row r="455" spans="4:5" ht="13.2">
      <c r="D455" s="19"/>
      <c r="E455" s="57"/>
    </row>
    <row r="456" spans="4:5" ht="13.2">
      <c r="D456" s="19"/>
      <c r="E456" s="57"/>
    </row>
    <row r="457" spans="4:5" ht="13.2">
      <c r="D457" s="19"/>
      <c r="E457" s="57"/>
    </row>
    <row r="458" spans="4:5" ht="13.2">
      <c r="D458" s="19"/>
      <c r="E458" s="57"/>
    </row>
    <row r="459" spans="4:5" ht="13.2">
      <c r="D459" s="19"/>
      <c r="E459" s="57"/>
    </row>
    <row r="460" spans="4:5" ht="13.2">
      <c r="D460" s="19"/>
      <c r="E460" s="57"/>
    </row>
    <row r="461" spans="4:5" ht="13.2">
      <c r="D461" s="19"/>
      <c r="E461" s="57"/>
    </row>
    <row r="462" spans="4:5" ht="13.2">
      <c r="D462" s="19"/>
      <c r="E462" s="57"/>
    </row>
    <row r="463" spans="4:5" ht="13.2">
      <c r="D463" s="19"/>
      <c r="E463" s="57"/>
    </row>
    <row r="464" spans="4:5" ht="13.2">
      <c r="D464" s="19"/>
      <c r="E464" s="57"/>
    </row>
    <row r="465" spans="4:5" ht="13.2">
      <c r="D465" s="19"/>
      <c r="E465" s="57"/>
    </row>
    <row r="466" spans="4:5" ht="13.2">
      <c r="D466" s="19"/>
      <c r="E466" s="57"/>
    </row>
    <row r="467" spans="4:5" ht="13.2">
      <c r="D467" s="19"/>
      <c r="E467" s="57"/>
    </row>
    <row r="468" spans="4:5" ht="13.2">
      <c r="D468" s="19"/>
      <c r="E468" s="57"/>
    </row>
    <row r="469" spans="4:5" ht="13.2">
      <c r="D469" s="19"/>
      <c r="E469" s="57"/>
    </row>
    <row r="470" spans="4:5" ht="13.2">
      <c r="D470" s="19"/>
      <c r="E470" s="57"/>
    </row>
    <row r="477" spans="4:5" ht="13.2">
      <c r="D477" s="19"/>
      <c r="E477" s="57"/>
    </row>
    <row r="478" spans="4:5" ht="13.2">
      <c r="D478" s="19"/>
      <c r="E478" s="57"/>
    </row>
    <row r="479" spans="4:5" ht="13.2">
      <c r="D479" s="19"/>
      <c r="E479" s="57"/>
    </row>
    <row r="480" spans="4:5" ht="13.2">
      <c r="D480" s="19"/>
      <c r="E480" s="57"/>
    </row>
    <row r="481" spans="4:5" ht="13.2">
      <c r="D481" s="19"/>
      <c r="E481" s="57"/>
    </row>
    <row r="482" spans="4:5" ht="13.2">
      <c r="D482" s="19"/>
      <c r="E482" s="57"/>
    </row>
    <row r="483" spans="4:5" ht="13.2">
      <c r="D483" s="19"/>
      <c r="E483" s="57"/>
    </row>
    <row r="484" spans="4:5" ht="13.2">
      <c r="D484" s="19"/>
      <c r="E484" s="57"/>
    </row>
    <row r="485" spans="4:5" ht="13.2">
      <c r="D485" s="19"/>
      <c r="E485" s="57"/>
    </row>
    <row r="486" spans="4:5" ht="13.2">
      <c r="D486" s="19"/>
      <c r="E486" s="57"/>
    </row>
    <row r="487" spans="4:5" ht="13.2">
      <c r="D487" s="19"/>
      <c r="E487" s="57"/>
    </row>
    <row r="488" spans="4:5" ht="13.2">
      <c r="D488" s="19"/>
      <c r="E488" s="57"/>
    </row>
    <row r="489" spans="4:5" ht="13.2">
      <c r="D489" s="19"/>
      <c r="E489" s="57"/>
    </row>
    <row r="490" spans="4:5" ht="13.2">
      <c r="D490" s="19"/>
      <c r="E490" s="57"/>
    </row>
    <row r="491" spans="4:5" ht="13.2">
      <c r="D491" s="19"/>
      <c r="E491" s="57"/>
    </row>
    <row r="492" spans="4:5" ht="13.2">
      <c r="D492" s="19"/>
      <c r="E492" s="57"/>
    </row>
    <row r="493" spans="4:5" ht="13.2">
      <c r="D493" s="19"/>
      <c r="E493" s="57"/>
    </row>
    <row r="494" spans="4:5" ht="13.2">
      <c r="D494" s="19"/>
      <c r="E494" s="57"/>
    </row>
    <row r="495" spans="4:5" ht="13.2">
      <c r="D495" s="19"/>
      <c r="E495" s="57"/>
    </row>
    <row r="496" spans="4:5" ht="13.2">
      <c r="D496" s="19"/>
      <c r="E496" s="57"/>
    </row>
    <row r="497" spans="4:5" ht="13.2">
      <c r="D497" s="19"/>
      <c r="E497" s="57"/>
    </row>
    <row r="498" spans="4:5" ht="13.2">
      <c r="D498" s="19"/>
      <c r="E498" s="57"/>
    </row>
    <row r="499" spans="4:5" ht="13.2">
      <c r="D499" s="19"/>
      <c r="E499" s="57"/>
    </row>
    <row r="500" spans="4:5" ht="13.2">
      <c r="D500" s="19"/>
      <c r="E500" s="57"/>
    </row>
    <row r="501" spans="4:5" ht="13.2">
      <c r="D501" s="19"/>
      <c r="E501" s="57"/>
    </row>
    <row r="502" spans="4:5" ht="13.2">
      <c r="D502" s="19"/>
      <c r="E502" s="57"/>
    </row>
    <row r="503" spans="4:5" ht="13.2">
      <c r="D503" s="19"/>
      <c r="E503" s="57"/>
    </row>
    <row r="504" spans="4:5" ht="13.2">
      <c r="D504" s="19"/>
      <c r="E504" s="57"/>
    </row>
    <row r="505" spans="4:5" ht="13.2">
      <c r="D505" s="19"/>
      <c r="E505" s="57"/>
    </row>
    <row r="506" spans="4:5" ht="13.2">
      <c r="D506" s="19"/>
      <c r="E506" s="57"/>
    </row>
    <row r="507" spans="4:5" ht="13.2">
      <c r="D507" s="19"/>
      <c r="E507" s="57"/>
    </row>
    <row r="508" spans="4:5" ht="13.2">
      <c r="D508" s="19"/>
      <c r="E508" s="57"/>
    </row>
    <row r="509" spans="4:5" ht="13.2">
      <c r="D509" s="19"/>
      <c r="E509" s="57"/>
    </row>
    <row r="510" spans="4:5" ht="13.2">
      <c r="D510" s="19"/>
      <c r="E510" s="57"/>
    </row>
    <row r="511" spans="4:5" ht="13.2">
      <c r="D511" s="19"/>
      <c r="E511" s="57"/>
    </row>
    <row r="512" spans="4:5" ht="13.2">
      <c r="D512" s="19"/>
      <c r="E512" s="57"/>
    </row>
    <row r="513" spans="4:5" ht="13.2">
      <c r="D513" s="19"/>
      <c r="E513" s="57"/>
    </row>
    <row r="514" spans="4:5" ht="13.2">
      <c r="D514" s="19"/>
      <c r="E514" s="57"/>
    </row>
    <row r="515" spans="4:5" ht="13.2">
      <c r="D515" s="19"/>
      <c r="E515" s="57"/>
    </row>
    <row r="516" spans="4:5" ht="13.2">
      <c r="D516" s="19"/>
      <c r="E516" s="57"/>
    </row>
    <row r="517" spans="4:5" ht="13.2">
      <c r="D517" s="19"/>
      <c r="E517" s="57"/>
    </row>
    <row r="518" spans="4:5" ht="13.2">
      <c r="D518" s="19"/>
      <c r="E518" s="57"/>
    </row>
    <row r="519" spans="4:5" ht="13.2">
      <c r="D519" s="19"/>
      <c r="E519" s="57"/>
    </row>
    <row r="520" spans="4:5" ht="13.2">
      <c r="D520" s="19"/>
      <c r="E520" s="57"/>
    </row>
    <row r="521" spans="4:5" ht="13.2">
      <c r="D521" s="19"/>
      <c r="E521" s="57"/>
    </row>
    <row r="522" spans="4:5" ht="13.2">
      <c r="D522" s="19"/>
      <c r="E522" s="57"/>
    </row>
    <row r="523" spans="4:5" ht="13.2">
      <c r="D523" s="19"/>
      <c r="E523" s="57"/>
    </row>
    <row r="524" spans="4:5" ht="13.2">
      <c r="D524" s="19"/>
      <c r="E524" s="57"/>
    </row>
    <row r="525" spans="4:5" ht="13.2">
      <c r="D525" s="19"/>
      <c r="E525" s="57"/>
    </row>
    <row r="526" spans="4:5" ht="13.2">
      <c r="D526" s="19"/>
      <c r="E526" s="57"/>
    </row>
    <row r="527" spans="4:5" ht="13.2">
      <c r="D527" s="19"/>
      <c r="E527" s="57"/>
    </row>
    <row r="528" spans="4:5" ht="13.2">
      <c r="D528" s="19"/>
      <c r="E528" s="57"/>
    </row>
    <row r="529" spans="4:5" ht="13.2">
      <c r="D529" s="19"/>
      <c r="E529" s="57"/>
    </row>
    <row r="530" spans="4:5" ht="13.2">
      <c r="D530" s="19"/>
      <c r="E530" s="57"/>
    </row>
    <row r="531" spans="4:5" ht="13.2">
      <c r="D531" s="19"/>
      <c r="E531" s="57"/>
    </row>
    <row r="532" spans="4:5" ht="13.2">
      <c r="D532" s="19"/>
      <c r="E532" s="57"/>
    </row>
    <row r="533" spans="4:5" ht="13.2">
      <c r="D533" s="19"/>
      <c r="E533" s="57"/>
    </row>
    <row r="534" spans="4:5" ht="13.2">
      <c r="D534" s="19"/>
      <c r="E534" s="57"/>
    </row>
    <row r="535" spans="4:5" ht="13.2">
      <c r="D535" s="19"/>
      <c r="E535" s="57"/>
    </row>
    <row r="536" spans="4:5" ht="13.2">
      <c r="D536" s="19"/>
      <c r="E536" s="57"/>
    </row>
    <row r="537" spans="4:5" ht="13.2">
      <c r="D537" s="19"/>
      <c r="E537" s="57"/>
    </row>
    <row r="538" spans="4:5" ht="13.2">
      <c r="D538" s="19"/>
      <c r="E538" s="57"/>
    </row>
    <row r="539" spans="4:5" ht="13.2">
      <c r="D539" s="19"/>
      <c r="E539" s="57"/>
    </row>
    <row r="540" spans="4:5" ht="13.2">
      <c r="D540" s="19"/>
      <c r="E540" s="57"/>
    </row>
    <row r="541" spans="4:5" ht="13.2">
      <c r="D541" s="19"/>
      <c r="E541" s="57"/>
    </row>
    <row r="542" spans="4:5" ht="13.2">
      <c r="D542" s="19"/>
      <c r="E542" s="57"/>
    </row>
    <row r="543" spans="4:5" ht="13.2">
      <c r="D543" s="19"/>
      <c r="E543" s="57"/>
    </row>
    <row r="544" spans="4:5" ht="13.2">
      <c r="D544" s="19"/>
      <c r="E544" s="57"/>
    </row>
    <row r="545" spans="4:5" ht="13.2">
      <c r="D545" s="19"/>
      <c r="E545" s="57"/>
    </row>
    <row r="546" spans="4:5" ht="13.2">
      <c r="D546" s="19"/>
      <c r="E546" s="57"/>
    </row>
    <row r="547" spans="4:5" ht="13.2">
      <c r="D547" s="19"/>
      <c r="E547" s="57"/>
    </row>
    <row r="548" spans="4:5" ht="13.2">
      <c r="D548" s="19"/>
      <c r="E548" s="57"/>
    </row>
    <row r="549" spans="4:5" ht="13.2">
      <c r="D549" s="19"/>
      <c r="E549" s="57"/>
    </row>
    <row r="550" spans="4:5" ht="13.2">
      <c r="D550" s="19"/>
      <c r="E550" s="57"/>
    </row>
    <row r="551" spans="4:5" ht="13.2">
      <c r="D551" s="19"/>
      <c r="E551" s="57"/>
    </row>
    <row r="552" spans="4:5" ht="13.2">
      <c r="D552" s="19"/>
      <c r="E552" s="57"/>
    </row>
    <row r="553" spans="4:5" ht="13.2">
      <c r="D553" s="19"/>
      <c r="E553" s="57"/>
    </row>
    <row r="554" spans="4:5" ht="13.2">
      <c r="D554" s="19"/>
      <c r="E554" s="57"/>
    </row>
    <row r="555" spans="4:5" ht="13.2">
      <c r="D555" s="19"/>
      <c r="E555" s="57"/>
    </row>
    <row r="556" spans="4:5" ht="13.2">
      <c r="D556" s="19"/>
      <c r="E556" s="57"/>
    </row>
    <row r="557" spans="4:5" ht="13.2">
      <c r="D557" s="19"/>
      <c r="E557" s="57"/>
    </row>
    <row r="558" spans="4:5" ht="13.2">
      <c r="D558" s="19"/>
      <c r="E558" s="57"/>
    </row>
    <row r="559" spans="4:5" ht="13.2">
      <c r="D559" s="19"/>
      <c r="E559" s="57"/>
    </row>
    <row r="560" spans="4:5" ht="13.2">
      <c r="D560" s="19"/>
      <c r="E560" s="57"/>
    </row>
    <row r="561" spans="4:5" ht="13.2">
      <c r="D561" s="19"/>
      <c r="E561" s="57"/>
    </row>
    <row r="562" spans="4:5" ht="13.2">
      <c r="D562" s="19"/>
      <c r="E562" s="57"/>
    </row>
    <row r="563" spans="4:5" ht="13.2">
      <c r="D563" s="19"/>
      <c r="E563" s="57"/>
    </row>
    <row r="564" spans="4:5" ht="13.2">
      <c r="D564" s="19"/>
      <c r="E564" s="57"/>
    </row>
    <row r="565" spans="4:5" ht="13.2">
      <c r="D565" s="19"/>
      <c r="E565" s="57"/>
    </row>
    <row r="566" spans="4:5" ht="13.2">
      <c r="D566" s="19"/>
      <c r="E566" s="57"/>
    </row>
    <row r="567" spans="4:5" ht="13.2">
      <c r="D567" s="19"/>
      <c r="E567" s="57"/>
    </row>
    <row r="568" spans="4:5" ht="13.2">
      <c r="D568" s="19"/>
      <c r="E568" s="57"/>
    </row>
    <row r="569" spans="4:5" ht="13.2">
      <c r="D569" s="19"/>
      <c r="E569" s="57"/>
    </row>
    <row r="570" spans="4:5" ht="13.2">
      <c r="D570" s="19"/>
      <c r="E570" s="57"/>
    </row>
    <row r="571" spans="4:5" ht="13.2">
      <c r="D571" s="19"/>
      <c r="E571" s="57"/>
    </row>
    <row r="572" spans="4:5" ht="13.2">
      <c r="D572" s="19"/>
      <c r="E572" s="57"/>
    </row>
    <row r="573" spans="4:5" ht="13.2">
      <c r="D573" s="19"/>
      <c r="E573" s="57"/>
    </row>
    <row r="574" spans="4:5" ht="13.2">
      <c r="D574" s="19"/>
      <c r="E574" s="57"/>
    </row>
    <row r="575" spans="4:5" ht="13.2">
      <c r="D575" s="19"/>
      <c r="E575" s="57"/>
    </row>
    <row r="576" spans="4:5" ht="13.2">
      <c r="D576" s="19"/>
      <c r="E576" s="57"/>
    </row>
    <row r="577" spans="4:5" ht="13.2">
      <c r="D577" s="19"/>
      <c r="E577" s="57"/>
    </row>
    <row r="578" spans="4:5" ht="13.2">
      <c r="D578" s="19"/>
      <c r="E578" s="57"/>
    </row>
    <row r="579" spans="4:5" ht="13.2">
      <c r="D579" s="19"/>
      <c r="E579" s="57"/>
    </row>
    <row r="580" spans="4:5" ht="13.2">
      <c r="D580" s="19"/>
      <c r="E580" s="57"/>
    </row>
    <row r="581" spans="4:5" ht="13.2">
      <c r="D581" s="19"/>
      <c r="E581" s="57"/>
    </row>
    <row r="582" spans="4:5" ht="13.2">
      <c r="D582" s="19"/>
      <c r="E582" s="57"/>
    </row>
    <row r="583" spans="4:5" ht="13.2">
      <c r="D583" s="19"/>
      <c r="E583" s="57"/>
    </row>
    <row r="584" spans="4:5" ht="13.2">
      <c r="D584" s="19"/>
      <c r="E584" s="57"/>
    </row>
    <row r="585" spans="4:5" ht="13.2">
      <c r="D585" s="19"/>
      <c r="E585" s="57"/>
    </row>
    <row r="586" spans="4:5" ht="13.2">
      <c r="D586" s="19"/>
      <c r="E586" s="57"/>
    </row>
    <row r="587" spans="4:5" ht="13.2">
      <c r="D587" s="19"/>
      <c r="E587" s="57"/>
    </row>
    <row r="588" spans="4:5" ht="13.2">
      <c r="D588" s="19"/>
      <c r="E588" s="57"/>
    </row>
    <row r="589" spans="4:5" ht="13.2">
      <c r="D589" s="19"/>
      <c r="E589" s="57"/>
    </row>
    <row r="590" spans="4:5" ht="13.2">
      <c r="D590" s="19"/>
      <c r="E590" s="57"/>
    </row>
    <row r="591" spans="4:5" ht="13.2">
      <c r="D591" s="19"/>
      <c r="E591" s="57"/>
    </row>
    <row r="592" spans="4:5" ht="13.2">
      <c r="D592" s="19"/>
      <c r="E592" s="57"/>
    </row>
    <row r="593" spans="4:5" ht="13.2">
      <c r="D593" s="19"/>
      <c r="E593" s="57"/>
    </row>
    <row r="594" spans="4:5" ht="13.2">
      <c r="D594" s="19"/>
      <c r="E594" s="57"/>
    </row>
    <row r="595" spans="4:5" ht="13.2">
      <c r="D595" s="19"/>
      <c r="E595" s="57"/>
    </row>
    <row r="596" spans="4:5" ht="13.2">
      <c r="D596" s="19"/>
      <c r="E596" s="57"/>
    </row>
    <row r="597" spans="4:5" ht="13.2">
      <c r="D597" s="19"/>
      <c r="E597" s="57"/>
    </row>
    <row r="598" spans="4:5" ht="13.2">
      <c r="D598" s="19"/>
      <c r="E598" s="57"/>
    </row>
    <row r="599" spans="4:5" ht="13.2">
      <c r="D599" s="19"/>
      <c r="E599" s="57"/>
    </row>
    <row r="600" spans="4:5" ht="13.2">
      <c r="D600" s="19"/>
      <c r="E600" s="57"/>
    </row>
    <row r="601" spans="4:5" ht="13.2">
      <c r="D601" s="19"/>
      <c r="E601" s="57"/>
    </row>
    <row r="602" spans="4:5" ht="13.2">
      <c r="D602" s="19"/>
      <c r="E602" s="57"/>
    </row>
    <row r="603" spans="4:5" ht="13.2">
      <c r="D603" s="19"/>
      <c r="E603" s="57"/>
    </row>
    <row r="604" spans="4:5" ht="13.2">
      <c r="D604" s="19"/>
      <c r="E604" s="57"/>
    </row>
    <row r="605" spans="4:5" ht="13.2">
      <c r="D605" s="19"/>
      <c r="E605" s="57"/>
    </row>
    <row r="606" spans="4:5" ht="13.2">
      <c r="D606" s="19"/>
      <c r="E606" s="57"/>
    </row>
    <row r="607" spans="4:5" ht="13.2">
      <c r="D607" s="19"/>
      <c r="E607" s="57"/>
    </row>
    <row r="608" spans="4:5" ht="13.2">
      <c r="D608" s="19"/>
      <c r="E608" s="57"/>
    </row>
    <row r="609" spans="4:5" ht="13.2">
      <c r="D609" s="19"/>
      <c r="E609" s="57"/>
    </row>
    <row r="610" spans="4:5" ht="13.2">
      <c r="D610" s="19"/>
      <c r="E610" s="57"/>
    </row>
    <row r="611" spans="4:5" ht="13.2">
      <c r="D611" s="19"/>
      <c r="E611" s="57"/>
    </row>
    <row r="612" spans="4:5" ht="13.2">
      <c r="D612" s="19"/>
      <c r="E612" s="57"/>
    </row>
    <row r="613" spans="4:5" ht="13.2">
      <c r="D613" s="19"/>
      <c r="E613" s="57"/>
    </row>
    <row r="614" spans="4:5" ht="13.2">
      <c r="D614" s="19"/>
      <c r="E614" s="57"/>
    </row>
    <row r="615" spans="4:5" ht="13.2">
      <c r="D615" s="19"/>
      <c r="E615" s="57"/>
    </row>
    <row r="616" spans="4:5" ht="13.2">
      <c r="D616" s="19"/>
      <c r="E616" s="57"/>
    </row>
    <row r="617" spans="4:5" ht="13.2">
      <c r="D617" s="19"/>
      <c r="E617" s="57"/>
    </row>
    <row r="618" spans="4:5" ht="13.2">
      <c r="D618" s="19"/>
      <c r="E618" s="57"/>
    </row>
    <row r="619" spans="4:5" ht="13.2">
      <c r="D619" s="19"/>
      <c r="E619" s="57"/>
    </row>
    <row r="620" spans="4:5" ht="13.2">
      <c r="D620" s="19"/>
      <c r="E620" s="57"/>
    </row>
    <row r="621" spans="4:5" ht="13.2">
      <c r="D621" s="19"/>
      <c r="E621" s="57"/>
    </row>
    <row r="622" spans="4:5" ht="13.2">
      <c r="D622" s="19"/>
      <c r="E622" s="57"/>
    </row>
    <row r="623" spans="4:5" ht="13.2">
      <c r="D623" s="19"/>
      <c r="E623" s="57"/>
    </row>
    <row r="624" spans="4:5" ht="13.2">
      <c r="D624" s="19"/>
      <c r="E624" s="57"/>
    </row>
    <row r="625" spans="4:5" ht="13.2">
      <c r="D625" s="19"/>
      <c r="E625" s="57"/>
    </row>
    <row r="626" spans="4:5" ht="13.2">
      <c r="D626" s="19"/>
      <c r="E626" s="57"/>
    </row>
    <row r="627" spans="4:5" ht="13.2">
      <c r="D627" s="19"/>
      <c r="E627" s="57"/>
    </row>
    <row r="628" spans="4:5" ht="13.2">
      <c r="D628" s="19"/>
      <c r="E628" s="57"/>
    </row>
    <row r="629" spans="4:5" ht="13.2">
      <c r="D629" s="19"/>
      <c r="E629" s="57"/>
    </row>
    <row r="630" spans="4:5" ht="13.2">
      <c r="D630" s="19"/>
      <c r="E630" s="57"/>
    </row>
    <row r="631" spans="4:5" ht="13.2">
      <c r="D631" s="19"/>
      <c r="E631" s="57"/>
    </row>
    <row r="632" spans="4:5" ht="13.2">
      <c r="D632" s="19"/>
      <c r="E632" s="57"/>
    </row>
    <row r="633" spans="4:5" ht="13.2">
      <c r="D633" s="19"/>
      <c r="E633" s="57"/>
    </row>
    <row r="634" spans="4:5" ht="13.2">
      <c r="D634" s="19"/>
      <c r="E634" s="57"/>
    </row>
    <row r="635" spans="4:5" ht="13.2">
      <c r="D635" s="19"/>
      <c r="E635" s="57"/>
    </row>
    <row r="636" spans="4:5" ht="13.2">
      <c r="D636" s="19"/>
      <c r="E636" s="57"/>
    </row>
    <row r="637" spans="4:5" ht="13.2">
      <c r="D637" s="19"/>
      <c r="E637" s="57"/>
    </row>
    <row r="638" spans="4:5" ht="13.2">
      <c r="D638" s="19"/>
      <c r="E638" s="57"/>
    </row>
    <row r="639" spans="4:5" ht="13.2">
      <c r="D639" s="19"/>
      <c r="E639" s="57"/>
    </row>
    <row r="640" spans="4:5" ht="13.2">
      <c r="D640" s="19"/>
      <c r="E640" s="57"/>
    </row>
    <row r="641" spans="4:5" ht="13.2">
      <c r="D641" s="19"/>
      <c r="E641" s="57"/>
    </row>
    <row r="642" spans="4:5" ht="13.2">
      <c r="D642" s="19"/>
      <c r="E642" s="57"/>
    </row>
    <row r="643" spans="4:5" ht="13.2">
      <c r="D643" s="19"/>
      <c r="E643" s="57"/>
    </row>
    <row r="644" spans="4:5" ht="13.2">
      <c r="D644" s="19"/>
      <c r="E644" s="57"/>
    </row>
    <row r="645" spans="4:5" ht="13.2">
      <c r="D645" s="19"/>
      <c r="E645" s="57"/>
    </row>
    <row r="646" spans="4:5" ht="13.2">
      <c r="D646" s="19"/>
      <c r="E646" s="57"/>
    </row>
    <row r="647" spans="4:5" ht="13.2">
      <c r="D647" s="19"/>
      <c r="E647" s="57"/>
    </row>
    <row r="648" spans="4:5" ht="13.2">
      <c r="D648" s="19"/>
      <c r="E648" s="57"/>
    </row>
    <row r="649" spans="4:5" ht="13.2">
      <c r="D649" s="19"/>
      <c r="E649" s="57"/>
    </row>
    <row r="650" spans="4:5" ht="13.2">
      <c r="D650" s="19"/>
      <c r="E650" s="57"/>
    </row>
    <row r="651" spans="4:5" ht="13.2">
      <c r="D651" s="19"/>
      <c r="E651" s="57"/>
    </row>
    <row r="652" spans="4:5" ht="13.2">
      <c r="D652" s="19"/>
      <c r="E652" s="57"/>
    </row>
    <row r="653" spans="4:5" ht="13.2">
      <c r="D653" s="19"/>
      <c r="E653" s="57"/>
    </row>
    <row r="654" spans="4:5" ht="13.2">
      <c r="D654" s="19"/>
      <c r="E654" s="57"/>
    </row>
    <row r="655" spans="4:5" ht="13.2">
      <c r="D655" s="19"/>
      <c r="E655" s="57"/>
    </row>
    <row r="656" spans="4:5" ht="13.2">
      <c r="D656" s="19"/>
      <c r="E656" s="57"/>
    </row>
    <row r="657" spans="4:5" ht="13.2">
      <c r="D657" s="19"/>
      <c r="E657" s="57"/>
    </row>
    <row r="658" spans="4:5" ht="13.2">
      <c r="D658" s="19"/>
      <c r="E658" s="57"/>
    </row>
    <row r="659" spans="4:5" ht="13.2">
      <c r="D659" s="19"/>
      <c r="E659" s="57"/>
    </row>
    <row r="660" spans="4:5" ht="13.2">
      <c r="D660" s="19"/>
      <c r="E660" s="57"/>
    </row>
    <row r="661" spans="4:5" ht="13.2">
      <c r="D661" s="19"/>
      <c r="E661" s="57"/>
    </row>
    <row r="662" spans="4:5" ht="13.2">
      <c r="D662" s="19"/>
      <c r="E662" s="57"/>
    </row>
    <row r="663" spans="4:5" ht="13.2">
      <c r="D663" s="19"/>
      <c r="E663" s="57"/>
    </row>
    <row r="664" spans="4:5" ht="13.2">
      <c r="D664" s="19"/>
      <c r="E664" s="57"/>
    </row>
    <row r="665" spans="4:5" ht="13.2">
      <c r="D665" s="19"/>
      <c r="E665" s="57"/>
    </row>
    <row r="666" spans="4:5" ht="13.2">
      <c r="D666" s="19"/>
      <c r="E666" s="57"/>
    </row>
    <row r="667" spans="4:5" ht="13.2">
      <c r="D667" s="19"/>
      <c r="E667" s="57"/>
    </row>
    <row r="668" spans="4:5" ht="13.2">
      <c r="D668" s="19"/>
      <c r="E668" s="57"/>
    </row>
    <row r="669" spans="4:5" ht="13.2">
      <c r="D669" s="19"/>
      <c r="E669" s="57"/>
    </row>
    <row r="670" spans="4:5" ht="13.2">
      <c r="D670" s="19"/>
      <c r="E670" s="57"/>
    </row>
    <row r="671" spans="4:5" ht="13.2">
      <c r="D671" s="19"/>
      <c r="E671" s="57"/>
    </row>
    <row r="672" spans="4:5" ht="13.2">
      <c r="D672" s="19"/>
      <c r="E672" s="57"/>
    </row>
    <row r="673" spans="4:5" ht="13.2">
      <c r="D673" s="19"/>
      <c r="E673" s="57"/>
    </row>
    <row r="674" spans="4:5" ht="13.2">
      <c r="D674" s="19"/>
      <c r="E674" s="57"/>
    </row>
    <row r="675" spans="4:5" ht="13.2">
      <c r="D675" s="19"/>
      <c r="E675" s="57"/>
    </row>
    <row r="676" spans="4:5" ht="13.2">
      <c r="D676" s="19"/>
      <c r="E676" s="57"/>
    </row>
    <row r="677" spans="4:5" ht="13.2">
      <c r="D677" s="19"/>
      <c r="E677" s="57"/>
    </row>
    <row r="678" spans="4:5" ht="13.2">
      <c r="D678" s="19"/>
      <c r="E678" s="57"/>
    </row>
    <row r="679" spans="4:5" ht="13.2">
      <c r="D679" s="19"/>
      <c r="E679" s="57"/>
    </row>
    <row r="680" spans="4:5" ht="13.2">
      <c r="D680" s="19"/>
      <c r="E680" s="57"/>
    </row>
    <row r="681" spans="4:5" ht="13.2">
      <c r="D681" s="19"/>
      <c r="E681" s="57"/>
    </row>
    <row r="682" spans="4:5" ht="13.2">
      <c r="D682" s="19"/>
      <c r="E682" s="57"/>
    </row>
    <row r="683" spans="4:5" ht="13.2">
      <c r="D683" s="19"/>
      <c r="E683" s="57"/>
    </row>
    <row r="684" spans="4:5" ht="13.2">
      <c r="D684" s="19"/>
      <c r="E684" s="57"/>
    </row>
    <row r="685" spans="4:5" ht="13.2">
      <c r="D685" s="19"/>
      <c r="E685" s="57"/>
    </row>
    <row r="686" spans="4:5" ht="13.2">
      <c r="D686" s="19"/>
      <c r="E686" s="57"/>
    </row>
    <row r="687" spans="4:5" ht="13.2">
      <c r="D687" s="19"/>
      <c r="E687" s="57"/>
    </row>
    <row r="688" spans="4:5" ht="13.2">
      <c r="D688" s="19"/>
      <c r="E688" s="57"/>
    </row>
    <row r="689" spans="4:5" ht="13.2">
      <c r="D689" s="19"/>
      <c r="E689" s="57"/>
    </row>
    <row r="690" spans="4:5" ht="13.2">
      <c r="D690" s="19"/>
      <c r="E690" s="57"/>
    </row>
    <row r="691" spans="4:5" ht="13.2">
      <c r="D691" s="19"/>
      <c r="E691" s="57"/>
    </row>
    <row r="692" spans="4:5" ht="13.2">
      <c r="D692" s="19"/>
      <c r="E692" s="57"/>
    </row>
    <row r="693" spans="4:5" ht="13.2">
      <c r="D693" s="19"/>
      <c r="E693" s="57"/>
    </row>
    <row r="694" spans="4:5" ht="13.2">
      <c r="D694" s="19"/>
      <c r="E694" s="57"/>
    </row>
    <row r="695" spans="4:5" ht="13.2">
      <c r="D695" s="19"/>
      <c r="E695" s="57"/>
    </row>
    <row r="696" spans="4:5" ht="13.2">
      <c r="D696" s="19"/>
      <c r="E696" s="57"/>
    </row>
    <row r="697" spans="4:5" ht="13.2">
      <c r="D697" s="19"/>
      <c r="E697" s="57"/>
    </row>
    <row r="698" spans="4:5" ht="13.2">
      <c r="D698" s="19"/>
      <c r="E698" s="57"/>
    </row>
    <row r="699" spans="4:5" ht="13.2">
      <c r="D699" s="19"/>
      <c r="E699" s="57"/>
    </row>
    <row r="700" spans="4:5" ht="13.2">
      <c r="D700" s="19"/>
      <c r="E700" s="57"/>
    </row>
    <row r="701" spans="4:5" ht="13.2">
      <c r="D701" s="19"/>
      <c r="E701" s="57"/>
    </row>
    <row r="702" spans="4:5" ht="13.2">
      <c r="D702" s="19"/>
      <c r="E702" s="57"/>
    </row>
    <row r="703" spans="4:5" ht="13.2">
      <c r="D703" s="19"/>
      <c r="E703" s="57"/>
    </row>
    <row r="704" spans="4:5" ht="13.2">
      <c r="D704" s="19"/>
      <c r="E704" s="57"/>
    </row>
    <row r="705" spans="4:5" ht="13.2">
      <c r="D705" s="19"/>
      <c r="E705" s="57"/>
    </row>
    <row r="706" spans="4:5" ht="13.2">
      <c r="D706" s="19"/>
      <c r="E706" s="57"/>
    </row>
    <row r="707" spans="4:5" ht="13.2">
      <c r="D707" s="19"/>
      <c r="E707" s="57"/>
    </row>
    <row r="708" spans="4:5" ht="13.2">
      <c r="D708" s="19"/>
      <c r="E708" s="57"/>
    </row>
    <row r="709" spans="4:5" ht="13.2">
      <c r="D709" s="19"/>
      <c r="E709" s="57"/>
    </row>
    <row r="710" spans="4:5" ht="13.2">
      <c r="D710" s="19"/>
      <c r="E710" s="57"/>
    </row>
    <row r="711" spans="4:5" ht="13.2">
      <c r="D711" s="19"/>
      <c r="E711" s="57"/>
    </row>
    <row r="712" spans="4:5" ht="13.2">
      <c r="D712" s="19"/>
      <c r="E712" s="57"/>
    </row>
    <row r="713" spans="4:5" ht="13.2">
      <c r="D713" s="19"/>
      <c r="E713" s="57"/>
    </row>
    <row r="714" spans="4:5" ht="13.2">
      <c r="D714" s="19"/>
      <c r="E714" s="57"/>
    </row>
    <row r="715" spans="4:5" ht="13.2">
      <c r="D715" s="19"/>
      <c r="E715" s="57"/>
    </row>
    <row r="716" spans="4:5" ht="13.2">
      <c r="D716" s="19"/>
      <c r="E716" s="57"/>
    </row>
    <row r="717" spans="4:5" ht="13.2">
      <c r="D717" s="19"/>
      <c r="E717" s="57"/>
    </row>
    <row r="718" spans="4:5" ht="13.2">
      <c r="D718" s="19"/>
      <c r="E718" s="57"/>
    </row>
    <row r="719" spans="4:5" ht="13.2">
      <c r="D719" s="19"/>
      <c r="E719" s="57"/>
    </row>
    <row r="720" spans="4:5" ht="13.2">
      <c r="D720" s="19"/>
      <c r="E720" s="57"/>
    </row>
    <row r="721" spans="4:5" ht="13.2">
      <c r="D721" s="19"/>
      <c r="E721" s="57"/>
    </row>
    <row r="722" spans="4:5" ht="13.2">
      <c r="D722" s="19"/>
      <c r="E722" s="57"/>
    </row>
    <row r="723" spans="4:5" ht="13.2">
      <c r="D723" s="19"/>
      <c r="E723" s="57"/>
    </row>
    <row r="724" spans="4:5" ht="13.2">
      <c r="D724" s="19"/>
      <c r="E724" s="57"/>
    </row>
    <row r="725" spans="4:5" ht="13.2">
      <c r="D725" s="19"/>
      <c r="E725" s="57"/>
    </row>
    <row r="726" spans="4:5" ht="13.2">
      <c r="D726" s="19"/>
      <c r="E726" s="57"/>
    </row>
    <row r="727" spans="4:5" ht="13.2">
      <c r="D727" s="19"/>
      <c r="E727" s="57"/>
    </row>
    <row r="728" spans="4:5" ht="13.2">
      <c r="D728" s="19"/>
      <c r="E728" s="57"/>
    </row>
    <row r="729" spans="4:5" ht="13.2">
      <c r="D729" s="19"/>
      <c r="E729" s="57"/>
    </row>
    <row r="730" spans="4:5" ht="13.2">
      <c r="D730" s="19"/>
      <c r="E730" s="57"/>
    </row>
    <row r="731" spans="4:5" ht="13.2">
      <c r="D731" s="19"/>
      <c r="E731" s="57"/>
    </row>
    <row r="732" spans="4:5" ht="13.2">
      <c r="D732" s="19"/>
      <c r="E732" s="57"/>
    </row>
    <row r="733" spans="4:5" ht="13.2">
      <c r="D733" s="19"/>
      <c r="E733" s="57"/>
    </row>
    <row r="734" spans="4:5" ht="13.2">
      <c r="D734" s="19"/>
      <c r="E734" s="57"/>
    </row>
    <row r="735" spans="4:5" ht="13.2">
      <c r="D735" s="19"/>
      <c r="E735" s="57"/>
    </row>
    <row r="736" spans="4:5" ht="13.2">
      <c r="D736" s="19"/>
      <c r="E736" s="57"/>
    </row>
    <row r="737" spans="4:5" ht="13.2">
      <c r="D737" s="19"/>
      <c r="E737" s="57"/>
    </row>
    <row r="738" spans="4:5" ht="13.2">
      <c r="D738" s="19"/>
      <c r="E738" s="57"/>
    </row>
    <row r="739" spans="4:5" ht="13.2">
      <c r="D739" s="19"/>
      <c r="E739" s="57"/>
    </row>
    <row r="740" spans="4:5" ht="13.2">
      <c r="D740" s="19"/>
      <c r="E740" s="57"/>
    </row>
    <row r="741" spans="4:5" ht="13.2">
      <c r="D741" s="19"/>
      <c r="E741" s="57"/>
    </row>
    <row r="742" spans="4:5" ht="13.2">
      <c r="D742" s="19"/>
      <c r="E742" s="57"/>
    </row>
    <row r="743" spans="4:5" ht="13.2">
      <c r="D743" s="19"/>
      <c r="E743" s="57"/>
    </row>
    <row r="744" spans="4:5" ht="13.2">
      <c r="D744" s="19"/>
      <c r="E744" s="57"/>
    </row>
    <row r="745" spans="4:5" ht="13.2">
      <c r="D745" s="19"/>
      <c r="E745" s="57"/>
    </row>
    <row r="746" spans="4:5" ht="13.2">
      <c r="D746" s="19"/>
      <c r="E746" s="57"/>
    </row>
    <row r="747" spans="4:5" ht="13.2">
      <c r="D747" s="19"/>
      <c r="E747" s="57"/>
    </row>
    <row r="748" spans="4:5" ht="13.2">
      <c r="D748" s="19"/>
      <c r="E748" s="57"/>
    </row>
    <row r="749" spans="4:5" ht="13.2">
      <c r="D749" s="19"/>
      <c r="E749" s="57"/>
    </row>
    <row r="750" spans="4:5" ht="13.2">
      <c r="D750" s="19"/>
      <c r="E750" s="57"/>
    </row>
    <row r="751" spans="4:5" ht="13.2">
      <c r="D751" s="19"/>
      <c r="E751" s="57"/>
    </row>
    <row r="752" spans="4:5" ht="13.2">
      <c r="D752" s="19"/>
      <c r="E752" s="57"/>
    </row>
    <row r="753" spans="4:5" ht="13.2">
      <c r="D753" s="19"/>
      <c r="E753" s="57"/>
    </row>
    <row r="754" spans="4:5" ht="13.2">
      <c r="D754" s="19"/>
      <c r="E754" s="57"/>
    </row>
    <row r="755" spans="4:5" ht="13.2">
      <c r="D755" s="19"/>
      <c r="E755" s="57"/>
    </row>
    <row r="756" spans="4:5" ht="13.2">
      <c r="D756" s="19"/>
      <c r="E756" s="57"/>
    </row>
    <row r="757" spans="4:5" ht="13.2">
      <c r="D757" s="19"/>
      <c r="E757" s="57"/>
    </row>
    <row r="758" spans="4:5" ht="13.2">
      <c r="D758" s="19"/>
      <c r="E758" s="57"/>
    </row>
    <row r="759" spans="4:5" ht="13.2">
      <c r="D759" s="19"/>
      <c r="E759" s="57"/>
    </row>
    <row r="760" spans="4:5" ht="13.2">
      <c r="D760" s="19"/>
      <c r="E760" s="57"/>
    </row>
    <row r="761" spans="4:5" ht="13.2">
      <c r="D761" s="19"/>
      <c r="E761" s="57"/>
    </row>
    <row r="762" spans="4:5" ht="13.2">
      <c r="D762" s="19"/>
      <c r="E762" s="57"/>
    </row>
    <row r="763" spans="4:5" ht="13.2">
      <c r="D763" s="19"/>
      <c r="E763" s="57"/>
    </row>
    <row r="764" spans="4:5" ht="13.2">
      <c r="D764" s="19"/>
      <c r="E764" s="57"/>
    </row>
    <row r="765" spans="4:5" ht="13.2">
      <c r="D765" s="19"/>
      <c r="E765" s="57"/>
    </row>
    <row r="766" spans="4:5" ht="13.2">
      <c r="D766" s="19"/>
      <c r="E766" s="57"/>
    </row>
    <row r="767" spans="4:5" ht="13.2">
      <c r="D767" s="19"/>
      <c r="E767" s="57"/>
    </row>
    <row r="768" spans="4:5" ht="13.2">
      <c r="D768" s="19"/>
      <c r="E768" s="57"/>
    </row>
    <row r="769" spans="4:5" ht="13.2">
      <c r="D769" s="19"/>
      <c r="E769" s="57"/>
    </row>
    <row r="770" spans="4:5" ht="13.2">
      <c r="D770" s="19"/>
      <c r="E770" s="57"/>
    </row>
    <row r="771" spans="4:5" ht="13.2">
      <c r="D771" s="19"/>
      <c r="E771" s="57"/>
    </row>
    <row r="772" spans="4:5" ht="13.2">
      <c r="D772" s="19"/>
      <c r="E772" s="57"/>
    </row>
    <row r="773" spans="4:5" ht="13.2">
      <c r="D773" s="19"/>
      <c r="E773" s="57"/>
    </row>
    <row r="774" spans="4:5" ht="13.2">
      <c r="D774" s="19"/>
      <c r="E774" s="57"/>
    </row>
    <row r="775" spans="4:5" ht="13.2">
      <c r="D775" s="19"/>
      <c r="E775" s="57"/>
    </row>
    <row r="776" spans="4:5" ht="13.2">
      <c r="D776" s="19"/>
      <c r="E776" s="57"/>
    </row>
    <row r="777" spans="4:5" ht="13.2">
      <c r="D777" s="19"/>
      <c r="E777" s="57"/>
    </row>
    <row r="778" spans="4:5" ht="13.2">
      <c r="D778" s="19"/>
      <c r="E778" s="57"/>
    </row>
    <row r="779" spans="4:5" ht="13.2">
      <c r="D779" s="19"/>
      <c r="E779" s="57"/>
    </row>
    <row r="780" spans="4:5" ht="13.2">
      <c r="D780" s="19"/>
      <c r="E780" s="57"/>
    </row>
    <row r="781" spans="4:5" ht="13.2">
      <c r="D781" s="19"/>
      <c r="E781" s="57"/>
    </row>
    <row r="782" spans="4:5" ht="13.2">
      <c r="D782" s="19"/>
      <c r="E782" s="57"/>
    </row>
    <row r="783" spans="4:5" ht="13.2">
      <c r="D783" s="19"/>
      <c r="E783" s="57"/>
    </row>
    <row r="784" spans="4:5" ht="13.2">
      <c r="D784" s="19"/>
      <c r="E784" s="57"/>
    </row>
    <row r="785" spans="4:5" ht="13.2">
      <c r="D785" s="19"/>
      <c r="E785" s="57"/>
    </row>
    <row r="786" spans="4:5" ht="13.2">
      <c r="D786" s="19"/>
      <c r="E786" s="57"/>
    </row>
    <row r="787" spans="4:5" ht="13.2">
      <c r="D787" s="19"/>
      <c r="E787" s="57"/>
    </row>
    <row r="788" spans="4:5" ht="13.2">
      <c r="D788" s="19"/>
      <c r="E788" s="57"/>
    </row>
    <row r="789" spans="4:5" ht="13.2">
      <c r="D789" s="19"/>
      <c r="E789" s="57"/>
    </row>
    <row r="790" spans="4:5" ht="13.2">
      <c r="D790" s="19"/>
      <c r="E790" s="57"/>
    </row>
    <row r="791" spans="4:5" ht="13.2">
      <c r="D791" s="19"/>
      <c r="E791" s="57"/>
    </row>
    <row r="792" spans="4:5" ht="13.2">
      <c r="D792" s="19"/>
      <c r="E792" s="57"/>
    </row>
    <row r="793" spans="4:5" ht="13.2">
      <c r="D793" s="19"/>
      <c r="E793" s="57"/>
    </row>
    <row r="794" spans="4:5" ht="13.2">
      <c r="D794" s="19"/>
      <c r="E794" s="57"/>
    </row>
    <row r="795" spans="4:5" ht="13.2">
      <c r="D795" s="19"/>
      <c r="E795" s="57"/>
    </row>
    <row r="796" spans="4:5" ht="13.2">
      <c r="D796" s="19"/>
      <c r="E796" s="57"/>
    </row>
    <row r="797" spans="4:5" ht="13.2">
      <c r="D797" s="19"/>
      <c r="E797" s="57"/>
    </row>
    <row r="798" spans="4:5" ht="13.2">
      <c r="D798" s="19"/>
      <c r="E798" s="57"/>
    </row>
    <row r="799" spans="4:5" ht="13.2">
      <c r="D799" s="19"/>
      <c r="E799" s="57"/>
    </row>
    <row r="800" spans="4:5" ht="13.2">
      <c r="D800" s="19"/>
      <c r="E800" s="57"/>
    </row>
    <row r="801" spans="4:5" ht="13.2">
      <c r="D801" s="19"/>
      <c r="E801" s="57"/>
    </row>
    <row r="802" spans="4:5" ht="13.2">
      <c r="D802" s="19"/>
      <c r="E802" s="57"/>
    </row>
    <row r="803" spans="4:5" ht="13.2">
      <c r="D803" s="19"/>
      <c r="E803" s="57"/>
    </row>
    <row r="804" spans="4:5" ht="13.2">
      <c r="D804" s="19"/>
      <c r="E804" s="57"/>
    </row>
    <row r="805" spans="4:5" ht="13.2">
      <c r="D805" s="19"/>
      <c r="E805" s="57"/>
    </row>
    <row r="806" spans="4:5" ht="13.2">
      <c r="D806" s="19"/>
      <c r="E806" s="57"/>
    </row>
    <row r="807" spans="4:5" ht="13.2">
      <c r="D807" s="19"/>
      <c r="E807" s="57"/>
    </row>
    <row r="808" spans="4:5" ht="13.2">
      <c r="D808" s="19"/>
      <c r="E808" s="57"/>
    </row>
    <row r="809" spans="4:5" ht="13.2">
      <c r="D809" s="19"/>
      <c r="E809" s="57"/>
    </row>
    <row r="810" spans="4:5" ht="13.2">
      <c r="D810" s="19"/>
      <c r="E810" s="57"/>
    </row>
    <row r="811" spans="4:5" ht="13.2">
      <c r="D811" s="19"/>
      <c r="E811" s="57"/>
    </row>
    <row r="812" spans="4:5" ht="13.2">
      <c r="D812" s="19"/>
      <c r="E812" s="57"/>
    </row>
    <row r="813" spans="4:5" ht="13.2">
      <c r="D813" s="19"/>
      <c r="E813" s="57"/>
    </row>
    <row r="814" spans="4:5" ht="13.2">
      <c r="D814" s="19"/>
      <c r="E814" s="57"/>
    </row>
    <row r="815" spans="4:5" ht="13.2">
      <c r="D815" s="19"/>
      <c r="E815" s="57"/>
    </row>
    <row r="816" spans="4:5" ht="13.2">
      <c r="D816" s="19"/>
      <c r="E816" s="57"/>
    </row>
    <row r="817" spans="4:5" ht="13.2">
      <c r="D817" s="19"/>
      <c r="E817" s="57"/>
    </row>
    <row r="818" spans="4:5" ht="13.2">
      <c r="D818" s="19"/>
      <c r="E818" s="57"/>
    </row>
    <row r="819" spans="4:5" ht="13.2">
      <c r="D819" s="19"/>
      <c r="E819" s="57"/>
    </row>
    <row r="820" spans="4:5" ht="13.2">
      <c r="D820" s="19"/>
      <c r="E820" s="57"/>
    </row>
    <row r="821" spans="4:5" ht="13.2">
      <c r="D821" s="19"/>
      <c r="E821" s="57"/>
    </row>
    <row r="822" spans="4:5" ht="13.2">
      <c r="D822" s="19"/>
      <c r="E822" s="57"/>
    </row>
    <row r="823" spans="4:5" ht="13.2">
      <c r="D823" s="19"/>
      <c r="E823" s="57"/>
    </row>
    <row r="824" spans="4:5" ht="13.2">
      <c r="D824" s="19"/>
      <c r="E824" s="57"/>
    </row>
    <row r="825" spans="4:5" ht="13.2">
      <c r="D825" s="19"/>
      <c r="E825" s="57"/>
    </row>
    <row r="826" spans="4:5" ht="13.2">
      <c r="D826" s="19"/>
      <c r="E826" s="57"/>
    </row>
    <row r="827" spans="4:5" ht="13.2">
      <c r="D827" s="19"/>
      <c r="E827" s="57"/>
    </row>
    <row r="828" spans="4:5" ht="13.2">
      <c r="D828" s="19"/>
      <c r="E828" s="57"/>
    </row>
    <row r="829" spans="4:5" ht="13.2">
      <c r="D829" s="19"/>
      <c r="E829" s="57"/>
    </row>
    <row r="830" spans="4:5" ht="13.2">
      <c r="D830" s="19"/>
      <c r="E830" s="57"/>
    </row>
    <row r="831" spans="4:5" ht="13.2">
      <c r="D831" s="19"/>
      <c r="E831" s="57"/>
    </row>
    <row r="832" spans="4:5" ht="13.2">
      <c r="D832" s="19"/>
      <c r="E832" s="57"/>
    </row>
    <row r="833" spans="4:5" ht="13.2">
      <c r="D833" s="19"/>
      <c r="E833" s="57"/>
    </row>
    <row r="834" spans="4:5" ht="13.2">
      <c r="D834" s="19"/>
      <c r="E834" s="57"/>
    </row>
    <row r="835" spans="4:5" ht="13.2">
      <c r="D835" s="19"/>
      <c r="E835" s="57"/>
    </row>
    <row r="836" spans="4:5" ht="13.2">
      <c r="D836" s="19"/>
      <c r="E836" s="57"/>
    </row>
    <row r="837" spans="4:5" ht="13.2">
      <c r="D837" s="19"/>
      <c r="E837" s="57"/>
    </row>
    <row r="838" spans="4:5" ht="13.2">
      <c r="D838" s="19"/>
      <c r="E838" s="57"/>
    </row>
    <row r="839" spans="4:5" ht="13.2">
      <c r="D839" s="19"/>
      <c r="E839" s="57"/>
    </row>
    <row r="840" spans="4:5" ht="13.2">
      <c r="D840" s="19"/>
      <c r="E840" s="57"/>
    </row>
    <row r="841" spans="4:5" ht="13.2">
      <c r="D841" s="19"/>
      <c r="E841" s="57"/>
    </row>
    <row r="842" spans="4:5" ht="13.2">
      <c r="D842" s="19"/>
      <c r="E842" s="57"/>
    </row>
    <row r="843" spans="4:5" ht="13.2">
      <c r="D843" s="19"/>
      <c r="E843" s="57"/>
    </row>
    <row r="844" spans="4:5" ht="13.2">
      <c r="D844" s="19"/>
      <c r="E844" s="57"/>
    </row>
    <row r="845" spans="4:5" ht="13.2">
      <c r="D845" s="19"/>
      <c r="E845" s="57"/>
    </row>
    <row r="846" spans="4:5" ht="13.2">
      <c r="D846" s="19"/>
      <c r="E846" s="57"/>
    </row>
    <row r="847" spans="4:5" ht="13.2">
      <c r="D847" s="19"/>
      <c r="E847" s="57"/>
    </row>
    <row r="848" spans="4:5" ht="13.2">
      <c r="D848" s="19"/>
      <c r="E848" s="57"/>
    </row>
    <row r="849" spans="4:5" ht="13.2">
      <c r="D849" s="19"/>
      <c r="E849" s="57"/>
    </row>
    <row r="850" spans="4:5" ht="13.2">
      <c r="D850" s="19"/>
      <c r="E850" s="57"/>
    </row>
    <row r="851" spans="4:5" ht="13.2">
      <c r="D851" s="19"/>
      <c r="E851" s="57"/>
    </row>
    <row r="852" spans="4:5" ht="13.2">
      <c r="D852" s="19"/>
      <c r="E852" s="57"/>
    </row>
    <row r="853" spans="4:5" ht="13.2">
      <c r="D853" s="19"/>
      <c r="E853" s="57"/>
    </row>
    <row r="854" spans="4:5" ht="13.2">
      <c r="D854" s="19"/>
      <c r="E854" s="57"/>
    </row>
    <row r="855" spans="4:5" ht="13.2">
      <c r="D855" s="19"/>
      <c r="E855" s="57"/>
    </row>
    <row r="856" spans="4:5" ht="13.2">
      <c r="D856" s="19"/>
      <c r="E856" s="57"/>
    </row>
    <row r="857" spans="4:5" ht="13.2">
      <c r="D857" s="19"/>
      <c r="E857" s="57"/>
    </row>
    <row r="858" spans="4:5" ht="13.2">
      <c r="D858" s="19"/>
      <c r="E858" s="57"/>
    </row>
    <row r="859" spans="4:5" ht="13.2">
      <c r="D859" s="19"/>
      <c r="E859" s="57"/>
    </row>
    <row r="860" spans="4:5" ht="13.2">
      <c r="D860" s="19"/>
      <c r="E860" s="57"/>
    </row>
    <row r="861" spans="4:5" ht="13.2">
      <c r="D861" s="19"/>
      <c r="E861" s="57"/>
    </row>
    <row r="862" spans="4:5" ht="13.2">
      <c r="D862" s="19"/>
      <c r="E862" s="57"/>
    </row>
    <row r="863" spans="4:5" ht="13.2">
      <c r="D863" s="19"/>
      <c r="E863" s="57"/>
    </row>
    <row r="864" spans="4:5" ht="13.2">
      <c r="D864" s="19"/>
      <c r="E864" s="57"/>
    </row>
    <row r="865" spans="4:5" ht="13.2">
      <c r="D865" s="19"/>
      <c r="E865" s="57"/>
    </row>
    <row r="866" spans="4:5" ht="13.2">
      <c r="D866" s="19"/>
      <c r="E866" s="57"/>
    </row>
    <row r="867" spans="4:5" ht="13.2">
      <c r="D867" s="19"/>
      <c r="E867" s="57"/>
    </row>
    <row r="868" spans="4:5" ht="13.2">
      <c r="D868" s="19"/>
      <c r="E868" s="57"/>
    </row>
    <row r="869" spans="4:5" ht="13.2">
      <c r="D869" s="19"/>
      <c r="E869" s="57"/>
    </row>
    <row r="870" spans="4:5" ht="13.2">
      <c r="D870" s="19"/>
      <c r="E870" s="57"/>
    </row>
    <row r="871" spans="4:5" ht="13.2">
      <c r="D871" s="19"/>
      <c r="E871" s="57"/>
    </row>
    <row r="872" spans="4:5" ht="13.2">
      <c r="D872" s="19"/>
      <c r="E872" s="57"/>
    </row>
    <row r="873" spans="4:5" ht="13.2">
      <c r="D873" s="19"/>
      <c r="E873" s="57"/>
    </row>
    <row r="874" spans="4:5" ht="13.2">
      <c r="D874" s="19"/>
      <c r="E874" s="57"/>
    </row>
    <row r="875" spans="4:5" ht="13.2">
      <c r="D875" s="19"/>
      <c r="E875" s="57"/>
    </row>
    <row r="876" spans="4:5" ht="13.2">
      <c r="D876" s="19"/>
      <c r="E876" s="57"/>
    </row>
    <row r="877" spans="4:5" ht="13.2">
      <c r="D877" s="19"/>
      <c r="E877" s="57"/>
    </row>
    <row r="878" spans="4:5" ht="13.2">
      <c r="D878" s="19"/>
      <c r="E878" s="57"/>
    </row>
    <row r="879" spans="4:5" ht="13.2">
      <c r="D879" s="19"/>
      <c r="E879" s="57"/>
    </row>
    <row r="880" spans="4:5" ht="13.2">
      <c r="D880" s="19"/>
      <c r="E880" s="57"/>
    </row>
    <row r="881" spans="4:5" ht="13.2">
      <c r="D881" s="19"/>
      <c r="E881" s="57"/>
    </row>
    <row r="882" spans="4:5" ht="13.2">
      <c r="D882" s="19"/>
      <c r="E882" s="57"/>
    </row>
    <row r="883" spans="4:5" ht="13.2">
      <c r="D883" s="19"/>
      <c r="E883" s="57"/>
    </row>
    <row r="884" spans="4:5" ht="13.2">
      <c r="D884" s="19"/>
      <c r="E884" s="57"/>
    </row>
    <row r="885" spans="4:5" ht="13.2">
      <c r="D885" s="19"/>
      <c r="E885" s="57"/>
    </row>
    <row r="886" spans="4:5" ht="13.2">
      <c r="D886" s="19"/>
      <c r="E886" s="57"/>
    </row>
    <row r="887" spans="4:5" ht="13.2">
      <c r="D887" s="19"/>
      <c r="E887" s="57"/>
    </row>
    <row r="888" spans="4:5" ht="13.2">
      <c r="D888" s="19"/>
      <c r="E888" s="57"/>
    </row>
    <row r="889" spans="4:5" ht="13.2">
      <c r="D889" s="19"/>
      <c r="E889" s="57"/>
    </row>
    <row r="890" spans="4:5" ht="13.2">
      <c r="D890" s="19"/>
      <c r="E890" s="57"/>
    </row>
    <row r="891" spans="4:5" ht="13.2">
      <c r="D891" s="19"/>
      <c r="E891" s="57"/>
    </row>
    <row r="892" spans="4:5" ht="13.2">
      <c r="D892" s="19"/>
      <c r="E892" s="57"/>
    </row>
    <row r="893" spans="4:5" ht="13.2">
      <c r="D893" s="19"/>
      <c r="E893" s="57"/>
    </row>
    <row r="894" spans="4:5" ht="13.2">
      <c r="D894" s="19"/>
      <c r="E894" s="57"/>
    </row>
    <row r="895" spans="4:5" ht="13.2">
      <c r="D895" s="19"/>
      <c r="E895" s="57"/>
    </row>
    <row r="896" spans="4:5" ht="13.2">
      <c r="D896" s="19"/>
      <c r="E896" s="57"/>
    </row>
    <row r="897" spans="4:5" ht="13.2">
      <c r="D897" s="19"/>
      <c r="E897" s="57"/>
    </row>
    <row r="898" spans="4:5" ht="13.2">
      <c r="D898" s="19"/>
      <c r="E898" s="57"/>
    </row>
    <row r="899" spans="4:5" ht="13.2">
      <c r="D899" s="19"/>
      <c r="E899" s="57"/>
    </row>
    <row r="900" spans="4:5" ht="13.2">
      <c r="D900" s="19"/>
      <c r="E900" s="57"/>
    </row>
    <row r="901" spans="4:5" ht="13.2">
      <c r="D901" s="19"/>
      <c r="E901" s="57"/>
    </row>
    <row r="902" spans="4:5" ht="13.2">
      <c r="D902" s="19"/>
      <c r="E902" s="57"/>
    </row>
    <row r="903" spans="4:5" ht="13.2">
      <c r="D903" s="19"/>
      <c r="E903" s="57"/>
    </row>
    <row r="904" spans="4:5" ht="13.2">
      <c r="D904" s="19"/>
      <c r="E904" s="57"/>
    </row>
    <row r="905" spans="4:5" ht="13.2">
      <c r="D905" s="19"/>
      <c r="E905" s="57"/>
    </row>
    <row r="906" spans="4:5" ht="13.2">
      <c r="D906" s="19"/>
      <c r="E906" s="57"/>
    </row>
    <row r="907" spans="4:5" ht="13.2">
      <c r="D907" s="19"/>
      <c r="E907" s="57"/>
    </row>
    <row r="908" spans="4:5" ht="13.2">
      <c r="D908" s="19"/>
      <c r="E908" s="57"/>
    </row>
    <row r="909" spans="4:5" ht="13.2">
      <c r="D909" s="19"/>
      <c r="E909" s="57"/>
    </row>
    <row r="910" spans="4:5" ht="13.2">
      <c r="D910" s="19"/>
      <c r="E910" s="57"/>
    </row>
    <row r="911" spans="4:5" ht="13.2">
      <c r="D911" s="19"/>
      <c r="E911" s="57"/>
    </row>
    <row r="912" spans="4:5" ht="13.2">
      <c r="D912" s="19"/>
      <c r="E912" s="57"/>
    </row>
    <row r="913" spans="4:5" ht="13.2">
      <c r="D913" s="19"/>
      <c r="E913" s="57"/>
    </row>
    <row r="914" spans="4:5" ht="13.2">
      <c r="D914" s="19"/>
      <c r="E914" s="57"/>
    </row>
    <row r="915" spans="4:5" ht="13.2">
      <c r="D915" s="19"/>
      <c r="E915" s="57"/>
    </row>
    <row r="916" spans="4:5" ht="13.2">
      <c r="D916" s="19"/>
      <c r="E916" s="57"/>
    </row>
    <row r="917" spans="4:5" ht="13.2">
      <c r="D917" s="19"/>
      <c r="E917" s="57"/>
    </row>
    <row r="918" spans="4:5" ht="13.2">
      <c r="D918" s="19"/>
      <c r="E918" s="57"/>
    </row>
    <row r="919" spans="4:5" ht="13.2">
      <c r="D919" s="19"/>
      <c r="E919" s="57"/>
    </row>
    <row r="920" spans="4:5" ht="13.2">
      <c r="D920" s="19"/>
      <c r="E920" s="57"/>
    </row>
    <row r="921" spans="4:5" ht="13.2">
      <c r="D921" s="19"/>
      <c r="E921" s="57"/>
    </row>
    <row r="922" spans="4:5" ht="13.2">
      <c r="D922" s="19"/>
      <c r="E922" s="57"/>
    </row>
    <row r="923" spans="4:5" ht="13.2">
      <c r="D923" s="19"/>
      <c r="E923" s="57"/>
    </row>
    <row r="924" spans="4:5" ht="13.2">
      <c r="D924" s="19"/>
      <c r="E924" s="57"/>
    </row>
    <row r="925" spans="4:5" ht="13.2">
      <c r="D925" s="19"/>
      <c r="E925" s="57"/>
    </row>
    <row r="926" spans="4:5" ht="13.2">
      <c r="D926" s="19"/>
      <c r="E926" s="57"/>
    </row>
    <row r="927" spans="4:5" ht="13.2">
      <c r="D927" s="19"/>
      <c r="E927" s="57"/>
    </row>
    <row r="928" spans="4:5" ht="13.2">
      <c r="D928" s="19"/>
      <c r="E928" s="57"/>
    </row>
    <row r="929" spans="4:5" ht="13.2">
      <c r="D929" s="19"/>
      <c r="E929" s="57"/>
    </row>
    <row r="930" spans="4:5" ht="13.2">
      <c r="D930" s="19"/>
      <c r="E930" s="57"/>
    </row>
    <row r="931" spans="4:5" ht="13.2">
      <c r="D931" s="19"/>
      <c r="E931" s="57"/>
    </row>
    <row r="932" spans="4:5" ht="13.2">
      <c r="D932" s="19"/>
      <c r="E932" s="57"/>
    </row>
    <row r="933" spans="4:5" ht="13.2">
      <c r="D933" s="19"/>
      <c r="E933" s="57"/>
    </row>
    <row r="934" spans="4:5" ht="13.2">
      <c r="D934" s="19"/>
      <c r="E934" s="57"/>
    </row>
    <row r="935" spans="4:5" ht="13.2">
      <c r="D935" s="19"/>
      <c r="E935" s="57"/>
    </row>
    <row r="936" spans="4:5" ht="13.2">
      <c r="D936" s="19"/>
      <c r="E936" s="57"/>
    </row>
    <row r="937" spans="4:5" ht="13.2">
      <c r="D937" s="19"/>
      <c r="E937" s="57"/>
    </row>
    <row r="938" spans="4:5" ht="13.2">
      <c r="D938" s="19"/>
      <c r="E938" s="57"/>
    </row>
    <row r="939" spans="4:5" ht="13.2">
      <c r="D939" s="19"/>
      <c r="E939" s="57"/>
    </row>
    <row r="940" spans="4:5" ht="13.2">
      <c r="D940" s="19"/>
      <c r="E940" s="57"/>
    </row>
    <row r="941" spans="4:5" ht="13.2">
      <c r="D941" s="19"/>
      <c r="E941" s="57"/>
    </row>
    <row r="942" spans="4:5" ht="13.2">
      <c r="D942" s="19"/>
      <c r="E942" s="57"/>
    </row>
    <row r="943" spans="4:5" ht="13.2">
      <c r="D943" s="19"/>
      <c r="E943" s="57"/>
    </row>
    <row r="944" spans="4:5" ht="13.2">
      <c r="D944" s="19"/>
      <c r="E944" s="57"/>
    </row>
    <row r="945" spans="4:5" ht="13.2">
      <c r="D945" s="19"/>
      <c r="E945" s="57"/>
    </row>
    <row r="946" spans="4:5" ht="13.2">
      <c r="D946" s="19"/>
      <c r="E946" s="57"/>
    </row>
    <row r="947" spans="4:5" ht="13.2">
      <c r="D947" s="19"/>
      <c r="E947" s="57"/>
    </row>
    <row r="948" spans="4:5" ht="13.2">
      <c r="D948" s="19"/>
      <c r="E948" s="57"/>
    </row>
    <row r="949" spans="4:5" ht="13.2">
      <c r="D949" s="19"/>
      <c r="E949" s="57"/>
    </row>
    <row r="950" spans="4:5" ht="13.2">
      <c r="D950" s="19"/>
      <c r="E950" s="57"/>
    </row>
    <row r="951" spans="4:5" ht="13.2">
      <c r="D951" s="19"/>
      <c r="E951" s="57"/>
    </row>
    <row r="952" spans="4:5" ht="13.2">
      <c r="D952" s="19"/>
      <c r="E952" s="57"/>
    </row>
    <row r="953" spans="4:5" ht="13.2">
      <c r="D953" s="19"/>
      <c r="E953" s="57"/>
    </row>
    <row r="954" spans="4:5" ht="13.2">
      <c r="D954" s="19"/>
      <c r="E954" s="57"/>
    </row>
    <row r="955" spans="4:5" ht="13.2">
      <c r="D955" s="19"/>
      <c r="E955" s="57"/>
    </row>
    <row r="956" spans="4:5" ht="13.2">
      <c r="D956" s="19"/>
      <c r="E956" s="57"/>
    </row>
    <row r="957" spans="4:5" ht="13.2">
      <c r="D957" s="19"/>
      <c r="E957" s="57"/>
    </row>
    <row r="958" spans="4:5" ht="13.2">
      <c r="D958" s="19"/>
      <c r="E958" s="57"/>
    </row>
    <row r="959" spans="4:5" ht="13.2">
      <c r="D959" s="19"/>
      <c r="E959" s="57"/>
    </row>
    <row r="960" spans="4:5" ht="13.2">
      <c r="D960" s="19"/>
      <c r="E960" s="57"/>
    </row>
    <row r="961" spans="4:5" ht="13.2">
      <c r="D961" s="19"/>
      <c r="E961" s="57"/>
    </row>
    <row r="962" spans="4:5" ht="13.2">
      <c r="D962" s="19"/>
      <c r="E962" s="57"/>
    </row>
    <row r="963" spans="4:5" ht="13.2">
      <c r="D963" s="19"/>
      <c r="E963" s="57"/>
    </row>
    <row r="964" spans="4:5" ht="13.2">
      <c r="D964" s="19"/>
      <c r="E964" s="57"/>
    </row>
    <row r="965" spans="4:5" ht="13.2">
      <c r="D965" s="19"/>
      <c r="E965" s="57"/>
    </row>
    <row r="966" spans="4:5" ht="13.2">
      <c r="D966" s="19"/>
      <c r="E966" s="57"/>
    </row>
    <row r="967" spans="4:5" ht="13.2">
      <c r="D967" s="19"/>
      <c r="E967" s="57"/>
    </row>
    <row r="968" spans="4:5" ht="13.2">
      <c r="D968" s="19"/>
      <c r="E968" s="57"/>
    </row>
    <row r="969" spans="4:5" ht="13.2">
      <c r="D969" s="19"/>
      <c r="E969" s="57"/>
    </row>
    <row r="970" spans="4:5" ht="13.2">
      <c r="D970" s="19"/>
      <c r="E970" s="57"/>
    </row>
    <row r="971" spans="4:5" ht="13.2">
      <c r="D971" s="19"/>
      <c r="E971" s="57"/>
    </row>
    <row r="972" spans="4:5" ht="13.2">
      <c r="D972" s="19"/>
      <c r="E972" s="57"/>
    </row>
    <row r="973" spans="4:5" ht="13.2">
      <c r="D973" s="19"/>
      <c r="E973" s="57"/>
    </row>
    <row r="974" spans="4:5" ht="13.2">
      <c r="D974" s="19"/>
      <c r="E974" s="57"/>
    </row>
    <row r="975" spans="4:5" ht="13.2">
      <c r="D975" s="19"/>
      <c r="E975" s="57"/>
    </row>
    <row r="976" spans="4:5" ht="13.2">
      <c r="D976" s="19"/>
      <c r="E976" s="57"/>
    </row>
    <row r="977" spans="4:5" ht="13.2">
      <c r="D977" s="19"/>
      <c r="E977" s="57"/>
    </row>
    <row r="978" spans="4:5" ht="13.2">
      <c r="D978" s="19"/>
      <c r="E978" s="57"/>
    </row>
    <row r="979" spans="4:5" ht="13.2">
      <c r="D979" s="19"/>
      <c r="E979" s="57"/>
    </row>
    <row r="980" spans="4:5" ht="13.2">
      <c r="D980" s="19"/>
      <c r="E980" s="57"/>
    </row>
    <row r="981" spans="4:5" ht="13.2">
      <c r="D981" s="19"/>
      <c r="E981" s="57"/>
    </row>
    <row r="982" spans="4:5" ht="13.2">
      <c r="D982" s="19"/>
      <c r="E982" s="57"/>
    </row>
    <row r="983" spans="4:5" ht="13.2">
      <c r="D983" s="19"/>
      <c r="E983" s="57"/>
    </row>
    <row r="984" spans="4:5" ht="13.2">
      <c r="D984" s="19"/>
      <c r="E984" s="57"/>
    </row>
    <row r="985" spans="4:5" ht="13.2">
      <c r="D985" s="19"/>
      <c r="E985" s="57"/>
    </row>
    <row r="986" spans="4:5" ht="13.2">
      <c r="D986" s="19"/>
      <c r="E986" s="57"/>
    </row>
    <row r="987" spans="4:5" ht="13.2">
      <c r="D987" s="19"/>
      <c r="E987" s="57"/>
    </row>
    <row r="988" spans="4:5" ht="13.2">
      <c r="D988" s="19"/>
      <c r="E988" s="57"/>
    </row>
    <row r="989" spans="4:5" ht="13.2">
      <c r="D989" s="19"/>
      <c r="E989" s="57"/>
    </row>
    <row r="990" spans="4:5" ht="13.2">
      <c r="D990" s="19"/>
      <c r="E990" s="57"/>
    </row>
    <row r="991" spans="4:5" ht="13.2">
      <c r="D991" s="19"/>
      <c r="E991" s="57"/>
    </row>
    <row r="992" spans="4:5" ht="13.2">
      <c r="D992" s="19"/>
      <c r="E992" s="57"/>
    </row>
    <row r="993" spans="4:5" ht="13.2">
      <c r="D993" s="19"/>
      <c r="E993" s="57"/>
    </row>
    <row r="994" spans="4:5" ht="13.2">
      <c r="D994" s="19"/>
      <c r="E994" s="57"/>
    </row>
    <row r="995" spans="4:5" ht="13.2">
      <c r="D995" s="19"/>
      <c r="E995" s="57"/>
    </row>
    <row r="996" spans="4:5" ht="13.2">
      <c r="D996" s="19"/>
      <c r="E996" s="57"/>
    </row>
    <row r="997" spans="4:5" ht="13.2">
      <c r="D997" s="19"/>
      <c r="E997" s="57"/>
    </row>
    <row r="998" spans="4:5" ht="13.2">
      <c r="D998" s="19"/>
      <c r="E998" s="57"/>
    </row>
    <row r="999" spans="4:5" ht="13.2">
      <c r="D999" s="19"/>
      <c r="E999" s="57"/>
    </row>
    <row r="1000" spans="4:5" ht="13.2">
      <c r="D1000" s="19"/>
      <c r="E1000" s="57"/>
    </row>
    <row r="1001" spans="4:5" ht="13.2">
      <c r="D1001" s="19"/>
      <c r="E1001" s="57"/>
    </row>
  </sheetData>
  <mergeCells count="9">
    <mergeCell ref="B72:B76"/>
    <mergeCell ref="B86:B90"/>
    <mergeCell ref="B3:B7"/>
    <mergeCell ref="B11:B15"/>
    <mergeCell ref="B20:B24"/>
    <mergeCell ref="B31:B35"/>
    <mergeCell ref="B44:B48"/>
    <mergeCell ref="B52:B56"/>
    <mergeCell ref="B61:B65"/>
  </mergeCells>
  <conditionalFormatting sqref="A8:Z9 A16:Z17 A26:Z27 A37:Z38 A49:Z50 A57:Z58 A67:Z68 A78:Z79">
    <cfRule type="notContainsBlanks" dxfId="0" priority="1">
      <formula>LEN(TRIM(A8))&gt;0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6F604-DD1C-4D0A-B44B-505B71108102}">
  <dimension ref="A1:CJ64"/>
  <sheetViews>
    <sheetView tabSelected="1" topLeftCell="AU1" workbookViewId="0">
      <selection activeCell="BO15" sqref="BO15"/>
    </sheetView>
  </sheetViews>
  <sheetFormatPr defaultRowHeight="13.2"/>
  <cols>
    <col min="1" max="1" width="14.33203125" bestFit="1" customWidth="1"/>
    <col min="3" max="9" width="8.88671875" style="75"/>
    <col min="40" max="40" width="14.77734375" bestFit="1" customWidth="1"/>
    <col min="48" max="48" width="15.5546875" bestFit="1" customWidth="1"/>
    <col min="56" max="56" width="15.5546875" bestFit="1" customWidth="1"/>
  </cols>
  <sheetData>
    <row r="1" spans="1:88" ht="15" customHeight="1" thickBot="1"/>
    <row r="2" spans="1:88" ht="29.4" thickBot="1">
      <c r="A2" s="76"/>
      <c r="B2" s="77" t="s">
        <v>77</v>
      </c>
      <c r="C2" s="78" t="s">
        <v>93</v>
      </c>
      <c r="D2" s="78"/>
      <c r="E2" s="78" t="s">
        <v>112</v>
      </c>
      <c r="F2" s="78"/>
      <c r="G2" s="79" t="s">
        <v>113</v>
      </c>
      <c r="I2" s="76"/>
      <c r="J2" s="77" t="s">
        <v>77</v>
      </c>
      <c r="K2" s="85" t="s">
        <v>94</v>
      </c>
      <c r="L2" s="86"/>
      <c r="M2" s="78" t="s">
        <v>112</v>
      </c>
      <c r="N2" s="78"/>
      <c r="O2" s="79" t="s">
        <v>113</v>
      </c>
      <c r="Q2" s="76"/>
      <c r="R2" s="81" t="s">
        <v>77</v>
      </c>
      <c r="S2" s="105" t="s">
        <v>95</v>
      </c>
      <c r="T2" s="105"/>
      <c r="U2" s="79" t="s">
        <v>112</v>
      </c>
      <c r="V2" s="79"/>
      <c r="W2" s="79" t="s">
        <v>113</v>
      </c>
      <c r="Y2" s="76"/>
      <c r="Z2" s="81" t="s">
        <v>77</v>
      </c>
      <c r="AA2" s="79" t="s">
        <v>122</v>
      </c>
      <c r="AB2" s="79"/>
      <c r="AC2" s="79" t="s">
        <v>112</v>
      </c>
      <c r="AD2" s="79"/>
      <c r="AF2" s="76"/>
      <c r="AG2" s="108" t="s">
        <v>77</v>
      </c>
      <c r="AH2" s="109" t="s">
        <v>97</v>
      </c>
      <c r="AI2" s="109"/>
      <c r="AJ2" s="109" t="s">
        <v>112</v>
      </c>
      <c r="AK2" s="109"/>
      <c r="AL2" s="110" t="s">
        <v>113</v>
      </c>
      <c r="AN2" s="76"/>
      <c r="AO2" s="108" t="s">
        <v>77</v>
      </c>
      <c r="AP2" s="109" t="s">
        <v>92</v>
      </c>
      <c r="AQ2" s="109"/>
      <c r="AR2" s="109" t="s">
        <v>112</v>
      </c>
      <c r="AS2" s="109"/>
      <c r="AT2" s="110" t="s">
        <v>113</v>
      </c>
      <c r="AV2" s="76"/>
      <c r="AW2" s="108" t="s">
        <v>77</v>
      </c>
      <c r="AX2" s="109" t="s">
        <v>99</v>
      </c>
      <c r="AY2" s="109"/>
      <c r="AZ2" s="109" t="s">
        <v>112</v>
      </c>
      <c r="BA2" s="109"/>
      <c r="BB2" s="110" t="s">
        <v>113</v>
      </c>
      <c r="BD2" s="76"/>
      <c r="BE2" s="108" t="s">
        <v>77</v>
      </c>
      <c r="BF2" s="109">
        <v>1248</v>
      </c>
      <c r="BG2" s="109"/>
      <c r="BH2" s="109" t="s">
        <v>112</v>
      </c>
      <c r="BI2" s="109"/>
      <c r="BJ2" s="110" t="s">
        <v>113</v>
      </c>
      <c r="BK2" s="133"/>
      <c r="BL2" s="131" t="s">
        <v>77</v>
      </c>
      <c r="BM2" s="123" t="s">
        <v>101</v>
      </c>
      <c r="BN2" s="124"/>
      <c r="BO2" s="125" t="s">
        <v>102</v>
      </c>
      <c r="BP2" s="126"/>
      <c r="BQ2" s="123" t="s">
        <v>91</v>
      </c>
      <c r="BR2" s="124"/>
      <c r="BS2" s="125" t="s">
        <v>103</v>
      </c>
      <c r="BT2" s="126"/>
      <c r="BU2" s="123" t="s">
        <v>104</v>
      </c>
      <c r="BV2" s="124"/>
      <c r="BW2" s="125" t="s">
        <v>105</v>
      </c>
      <c r="BX2" s="126"/>
      <c r="BY2" s="123" t="s">
        <v>106</v>
      </c>
      <c r="BZ2" s="124"/>
      <c r="CA2" s="125" t="s">
        <v>107</v>
      </c>
      <c r="CB2" s="126"/>
      <c r="CC2" s="123" t="s">
        <v>108</v>
      </c>
      <c r="CD2" s="127"/>
      <c r="CE2" s="123" t="s">
        <v>164</v>
      </c>
      <c r="CF2" s="127"/>
      <c r="CG2" s="123" t="s">
        <v>165</v>
      </c>
      <c r="CH2" s="127"/>
      <c r="CI2" s="123" t="s">
        <v>166</v>
      </c>
      <c r="CJ2" s="127"/>
    </row>
    <row r="3" spans="1:88" ht="29.4" thickBot="1">
      <c r="A3" s="76"/>
      <c r="B3" s="77"/>
      <c r="C3" s="80" t="s">
        <v>109</v>
      </c>
      <c r="D3" s="80" t="s">
        <v>114</v>
      </c>
      <c r="E3" s="80" t="s">
        <v>115</v>
      </c>
      <c r="F3" s="80" t="s">
        <v>116</v>
      </c>
      <c r="G3" s="80" t="s">
        <v>113</v>
      </c>
      <c r="I3" s="76"/>
      <c r="J3" s="77"/>
      <c r="K3" s="80" t="s">
        <v>109</v>
      </c>
      <c r="L3" s="80" t="s">
        <v>114</v>
      </c>
      <c r="M3" s="80" t="s">
        <v>115</v>
      </c>
      <c r="N3" s="80" t="s">
        <v>116</v>
      </c>
      <c r="O3" s="80" t="s">
        <v>113</v>
      </c>
      <c r="Q3" s="76"/>
      <c r="R3" s="81"/>
      <c r="S3" s="80" t="s">
        <v>109</v>
      </c>
      <c r="T3" s="80" t="s">
        <v>114</v>
      </c>
      <c r="U3" s="80" t="s">
        <v>115</v>
      </c>
      <c r="V3" s="80" t="s">
        <v>116</v>
      </c>
      <c r="W3" s="80" t="s">
        <v>113</v>
      </c>
      <c r="Y3" s="76"/>
      <c r="Z3" s="81"/>
      <c r="AA3" s="80" t="s">
        <v>109</v>
      </c>
      <c r="AB3" s="80" t="s">
        <v>114</v>
      </c>
      <c r="AC3" s="80" t="s">
        <v>115</v>
      </c>
      <c r="AD3" s="80" t="s">
        <v>116</v>
      </c>
      <c r="AF3" s="76"/>
      <c r="AG3" s="108"/>
      <c r="AH3" s="111" t="s">
        <v>109</v>
      </c>
      <c r="AI3" s="111" t="s">
        <v>114</v>
      </c>
      <c r="AJ3" s="111" t="s">
        <v>115</v>
      </c>
      <c r="AK3" s="111" t="s">
        <v>116</v>
      </c>
      <c r="AL3" s="111" t="s">
        <v>113</v>
      </c>
      <c r="AN3" s="76"/>
      <c r="AO3" s="108"/>
      <c r="AP3" s="111" t="s">
        <v>109</v>
      </c>
      <c r="AQ3" s="111" t="s">
        <v>114</v>
      </c>
      <c r="AR3" s="111" t="s">
        <v>115</v>
      </c>
      <c r="AS3" s="111" t="s">
        <v>116</v>
      </c>
      <c r="AT3" s="111" t="s">
        <v>113</v>
      </c>
      <c r="AV3" s="76"/>
      <c r="AW3" s="108"/>
      <c r="AX3" s="111" t="s">
        <v>109</v>
      </c>
      <c r="AY3" s="111" t="s">
        <v>114</v>
      </c>
      <c r="AZ3" s="111" t="s">
        <v>115</v>
      </c>
      <c r="BA3" s="111" t="s">
        <v>116</v>
      </c>
      <c r="BB3" s="111" t="s">
        <v>113</v>
      </c>
      <c r="BD3" s="76"/>
      <c r="BE3" s="108"/>
      <c r="BF3" s="111" t="s">
        <v>109</v>
      </c>
      <c r="BG3" s="111" t="s">
        <v>114</v>
      </c>
      <c r="BH3" s="111" t="s">
        <v>115</v>
      </c>
      <c r="BI3" s="111" t="s">
        <v>116</v>
      </c>
      <c r="BJ3" s="111" t="s">
        <v>113</v>
      </c>
      <c r="BK3" s="134"/>
      <c r="BL3" s="131"/>
      <c r="BM3" s="128" t="s">
        <v>109</v>
      </c>
      <c r="BN3" s="128" t="s">
        <v>110</v>
      </c>
      <c r="BO3" s="128" t="s">
        <v>109</v>
      </c>
      <c r="BP3" s="128" t="s">
        <v>110</v>
      </c>
      <c r="BQ3" s="128" t="s">
        <v>109</v>
      </c>
      <c r="BR3" s="128" t="s">
        <v>110</v>
      </c>
      <c r="BS3" s="128" t="s">
        <v>109</v>
      </c>
      <c r="BT3" s="128" t="s">
        <v>110</v>
      </c>
      <c r="BU3" s="128" t="s">
        <v>109</v>
      </c>
      <c r="BV3" s="128" t="s">
        <v>110</v>
      </c>
      <c r="BW3" s="128" t="s">
        <v>109</v>
      </c>
      <c r="BX3" s="128" t="s">
        <v>110</v>
      </c>
      <c r="BY3" s="128" t="s">
        <v>109</v>
      </c>
      <c r="BZ3" s="128" t="s">
        <v>110</v>
      </c>
      <c r="CA3" s="128" t="s">
        <v>109</v>
      </c>
      <c r="CB3" s="128" t="s">
        <v>110</v>
      </c>
      <c r="CC3" s="128" t="s">
        <v>109</v>
      </c>
      <c r="CD3" s="128" t="s">
        <v>110</v>
      </c>
      <c r="CE3" s="128" t="s">
        <v>109</v>
      </c>
      <c r="CF3" s="128" t="s">
        <v>110</v>
      </c>
      <c r="CG3" s="128" t="s">
        <v>109</v>
      </c>
      <c r="CH3" s="128" t="s">
        <v>110</v>
      </c>
      <c r="CI3" s="128" t="s">
        <v>109</v>
      </c>
      <c r="CJ3" s="128" t="s">
        <v>110</v>
      </c>
    </row>
    <row r="4" spans="1:88" ht="15" thickBot="1">
      <c r="A4" s="76" t="s">
        <v>111</v>
      </c>
      <c r="B4" s="81">
        <v>1</v>
      </c>
      <c r="C4" s="80">
        <v>7.94</v>
      </c>
      <c r="D4" s="80">
        <v>8.4700000000000006</v>
      </c>
      <c r="E4" s="80">
        <v>9.35</v>
      </c>
      <c r="F4" s="80">
        <v>10.77</v>
      </c>
      <c r="G4" s="80">
        <v>9.25</v>
      </c>
      <c r="I4" s="76" t="s">
        <v>111</v>
      </c>
      <c r="J4" s="81">
        <v>1</v>
      </c>
      <c r="K4" s="80">
        <v>8.77</v>
      </c>
      <c r="L4" s="80">
        <v>9.48</v>
      </c>
      <c r="M4" s="80">
        <v>10.89</v>
      </c>
      <c r="N4" s="80">
        <v>12.31</v>
      </c>
      <c r="O4" s="80">
        <v>16.399999999999999</v>
      </c>
      <c r="Q4" s="76" t="s">
        <v>111</v>
      </c>
      <c r="R4" s="81">
        <v>1</v>
      </c>
      <c r="S4" s="82">
        <v>8.9499999999999993</v>
      </c>
      <c r="T4" s="82">
        <v>9.75</v>
      </c>
      <c r="U4" s="82">
        <v>11.16</v>
      </c>
      <c r="V4" s="82">
        <v>12.57</v>
      </c>
      <c r="W4" s="82">
        <v>15.24</v>
      </c>
      <c r="Y4" s="76" t="s">
        <v>111</v>
      </c>
      <c r="Z4" s="81">
        <v>1</v>
      </c>
      <c r="AA4" s="80">
        <v>7.94</v>
      </c>
      <c r="AB4" s="80">
        <v>8.4700000000000006</v>
      </c>
      <c r="AC4" s="80">
        <v>9.35</v>
      </c>
      <c r="AD4" s="80">
        <v>10.77</v>
      </c>
      <c r="AF4" s="76" t="s">
        <v>111</v>
      </c>
      <c r="AG4" s="112">
        <v>1</v>
      </c>
      <c r="AH4" s="111">
        <v>5.69</v>
      </c>
      <c r="AI4" s="111">
        <v>6.28</v>
      </c>
      <c r="AJ4" s="111">
        <v>7.7</v>
      </c>
      <c r="AK4" s="111">
        <v>9.11</v>
      </c>
      <c r="AL4" s="111">
        <v>15.02</v>
      </c>
      <c r="AN4" s="76" t="s">
        <v>111</v>
      </c>
      <c r="AO4" s="112">
        <v>1</v>
      </c>
      <c r="AP4" s="111">
        <v>5.69</v>
      </c>
      <c r="AQ4" s="111">
        <v>6.28</v>
      </c>
      <c r="AR4" s="111">
        <v>7.7</v>
      </c>
      <c r="AS4" s="111">
        <v>9.11</v>
      </c>
      <c r="AT4" s="111">
        <v>15.02</v>
      </c>
      <c r="AV4" s="76" t="s">
        <v>111</v>
      </c>
      <c r="AW4" s="112">
        <v>1</v>
      </c>
      <c r="AX4" s="111">
        <v>11.49</v>
      </c>
      <c r="AY4" s="111">
        <v>13.09</v>
      </c>
      <c r="AZ4" s="111">
        <v>14.51</v>
      </c>
      <c r="BA4" s="111">
        <v>15.92</v>
      </c>
      <c r="BB4" s="111">
        <v>17.23</v>
      </c>
      <c r="BD4" s="76" t="s">
        <v>111</v>
      </c>
      <c r="BE4" s="112">
        <v>1</v>
      </c>
      <c r="BF4" s="111">
        <v>12.56</v>
      </c>
      <c r="BG4" s="111">
        <v>14.7</v>
      </c>
      <c r="BH4" s="111">
        <v>16.11</v>
      </c>
      <c r="BI4" s="111">
        <v>17.52</v>
      </c>
      <c r="BJ4" s="111">
        <v>18.829999999999998</v>
      </c>
      <c r="BK4" s="134"/>
      <c r="BL4" s="132">
        <v>1</v>
      </c>
      <c r="BM4" s="129">
        <v>8.25</v>
      </c>
      <c r="BN4" s="129">
        <v>9.42</v>
      </c>
      <c r="BO4" s="129">
        <v>9.9499999999999993</v>
      </c>
      <c r="BP4" s="129">
        <v>11.53</v>
      </c>
      <c r="BQ4" s="129">
        <v>14.73</v>
      </c>
      <c r="BR4" s="129">
        <v>16.82</v>
      </c>
      <c r="BS4" s="129">
        <v>15.49</v>
      </c>
      <c r="BT4" s="129">
        <v>17.88</v>
      </c>
      <c r="BU4" s="129">
        <v>23</v>
      </c>
      <c r="BV4" s="129">
        <v>17.2</v>
      </c>
      <c r="BW4" s="129">
        <v>18.72</v>
      </c>
      <c r="BX4" s="129">
        <v>20.63</v>
      </c>
      <c r="BY4" s="129">
        <v>21.68</v>
      </c>
      <c r="BZ4" s="129">
        <v>28.53</v>
      </c>
      <c r="CA4" s="129">
        <v>24.89</v>
      </c>
      <c r="CB4" s="129">
        <v>26.49</v>
      </c>
      <c r="CC4" s="129">
        <v>31.05</v>
      </c>
      <c r="CD4" s="129">
        <v>31.3</v>
      </c>
      <c r="CE4" s="129"/>
      <c r="CF4" s="129"/>
      <c r="CG4" s="129"/>
      <c r="CH4" s="129"/>
      <c r="CI4" s="129"/>
      <c r="CJ4" s="129"/>
    </row>
    <row r="5" spans="1:88" ht="15" thickBot="1">
      <c r="A5" s="76" t="s">
        <v>111</v>
      </c>
      <c r="B5" s="81">
        <v>2</v>
      </c>
      <c r="C5" s="80">
        <v>2.58</v>
      </c>
      <c r="D5" s="82">
        <v>5.9</v>
      </c>
      <c r="E5" s="82">
        <v>7.1050000000000004</v>
      </c>
      <c r="F5" s="82">
        <v>8.52</v>
      </c>
      <c r="G5" s="82">
        <v>9.8249999999999993</v>
      </c>
      <c r="I5" s="76" t="s">
        <v>111</v>
      </c>
      <c r="J5" s="81">
        <v>2</v>
      </c>
      <c r="K5" s="80">
        <v>5.9850000000000003</v>
      </c>
      <c r="L5" s="82">
        <v>6.7</v>
      </c>
      <c r="M5" s="82">
        <v>8.11</v>
      </c>
      <c r="N5" s="82">
        <v>9.5250000000000004</v>
      </c>
      <c r="O5" s="82">
        <v>16.405000000000001</v>
      </c>
      <c r="Q5" s="76" t="s">
        <v>111</v>
      </c>
      <c r="R5" s="81">
        <v>2</v>
      </c>
      <c r="S5" s="80">
        <v>6.165</v>
      </c>
      <c r="T5" s="82">
        <v>6.9649999999999999</v>
      </c>
      <c r="U5" s="82">
        <v>8.3800000000000008</v>
      </c>
      <c r="V5" s="82">
        <v>9.7899999999999991</v>
      </c>
      <c r="W5" s="82">
        <v>15.24</v>
      </c>
      <c r="Y5" s="76" t="s">
        <v>111</v>
      </c>
      <c r="Z5" s="81">
        <v>2</v>
      </c>
      <c r="AA5" s="80">
        <v>2.58</v>
      </c>
      <c r="AB5" s="82">
        <v>5.9</v>
      </c>
      <c r="AC5" s="82">
        <v>7.1050000000000004</v>
      </c>
      <c r="AD5" s="82">
        <v>8.52</v>
      </c>
      <c r="AF5" s="76" t="s">
        <v>111</v>
      </c>
      <c r="AG5" s="112">
        <v>2</v>
      </c>
      <c r="AH5" s="111">
        <v>4.1349999999999998</v>
      </c>
      <c r="AI5" s="113">
        <v>4.7050000000000001</v>
      </c>
      <c r="AJ5" s="113">
        <v>6.12</v>
      </c>
      <c r="AK5" s="113">
        <v>7.5350000000000001</v>
      </c>
      <c r="AL5" s="113">
        <v>15.02</v>
      </c>
      <c r="AN5" s="76" t="s">
        <v>111</v>
      </c>
      <c r="AO5" s="112">
        <v>2</v>
      </c>
      <c r="AP5" s="111">
        <v>4.1349999999999998</v>
      </c>
      <c r="AQ5" s="113">
        <v>4.7050000000000001</v>
      </c>
      <c r="AR5" s="113">
        <v>6.12</v>
      </c>
      <c r="AS5" s="113">
        <v>7.5350000000000001</v>
      </c>
      <c r="AT5" s="113">
        <v>15.02</v>
      </c>
      <c r="AV5" s="76" t="s">
        <v>111</v>
      </c>
      <c r="AW5" s="112">
        <v>2</v>
      </c>
      <c r="AX5" s="111">
        <v>10.27</v>
      </c>
      <c r="AY5" s="113">
        <v>11.824999999999999</v>
      </c>
      <c r="AZ5" s="113">
        <v>13.24</v>
      </c>
      <c r="BA5" s="113">
        <v>14.654999999999999</v>
      </c>
      <c r="BB5" s="113">
        <v>15.965</v>
      </c>
      <c r="BD5" s="76" t="s">
        <v>111</v>
      </c>
      <c r="BE5" s="112">
        <v>2</v>
      </c>
      <c r="BF5" s="111">
        <v>9.7799999999999994</v>
      </c>
      <c r="BG5" s="113">
        <v>11.914999999999999</v>
      </c>
      <c r="BH5" s="113">
        <v>13.33</v>
      </c>
      <c r="BI5" s="113">
        <v>14.744999999999999</v>
      </c>
      <c r="BJ5" s="113">
        <v>16.05</v>
      </c>
      <c r="BK5" s="135"/>
      <c r="BL5" s="132">
        <v>10</v>
      </c>
      <c r="BM5" s="129">
        <v>4.8259999999999996</v>
      </c>
      <c r="BN5" s="129">
        <v>5.8010000000000002</v>
      </c>
      <c r="BO5" s="129">
        <v>5.7850000000000001</v>
      </c>
      <c r="BP5" s="129">
        <v>7.12</v>
      </c>
      <c r="BQ5" s="129">
        <v>8.6780000000000008</v>
      </c>
      <c r="BR5" s="129">
        <v>10.68</v>
      </c>
      <c r="BS5" s="129">
        <v>11.005000000000001</v>
      </c>
      <c r="BT5" s="129">
        <v>14.41</v>
      </c>
      <c r="BU5" s="129">
        <v>9.7889999999999997</v>
      </c>
      <c r="BV5" s="129">
        <v>12.523</v>
      </c>
      <c r="BW5" s="129">
        <v>13.843</v>
      </c>
      <c r="BX5" s="129">
        <v>18.231000000000002</v>
      </c>
      <c r="BY5" s="129">
        <v>13.212999999999999</v>
      </c>
      <c r="BZ5" s="129">
        <v>17.042999999999999</v>
      </c>
      <c r="CA5" s="129">
        <v>15.426</v>
      </c>
      <c r="CB5" s="129">
        <v>20.363</v>
      </c>
      <c r="CC5" s="129">
        <v>20.173999999999999</v>
      </c>
      <c r="CD5" s="129">
        <v>26.754999999999999</v>
      </c>
      <c r="CE5" s="129"/>
      <c r="CF5" s="129"/>
      <c r="CG5" s="129"/>
      <c r="CH5" s="129"/>
      <c r="CI5" s="129"/>
      <c r="CJ5" s="129"/>
    </row>
    <row r="6" spans="1:88" ht="15" thickBot="1">
      <c r="A6" s="76" t="s">
        <v>111</v>
      </c>
      <c r="B6" s="81">
        <v>4</v>
      </c>
      <c r="C6" s="80">
        <v>3.7650000000000001</v>
      </c>
      <c r="D6" s="82">
        <v>4.3</v>
      </c>
      <c r="E6" s="82">
        <v>5.7125000000000004</v>
      </c>
      <c r="F6" s="82">
        <v>7.1275000000000004</v>
      </c>
      <c r="G6" s="82">
        <v>8.4350000000000005</v>
      </c>
      <c r="I6" s="76" t="s">
        <v>111</v>
      </c>
      <c r="J6" s="81">
        <v>4</v>
      </c>
      <c r="K6" s="80">
        <v>4.5949999999999998</v>
      </c>
      <c r="L6" s="82">
        <v>5.3075000000000001</v>
      </c>
      <c r="M6" s="82">
        <v>6.72</v>
      </c>
      <c r="N6" s="82">
        <v>8.1349999999999998</v>
      </c>
      <c r="O6" s="82">
        <v>16.405000000000001</v>
      </c>
      <c r="Q6" s="76" t="s">
        <v>111</v>
      </c>
      <c r="R6" s="81">
        <v>4</v>
      </c>
      <c r="S6" s="80">
        <v>4.7725</v>
      </c>
      <c r="T6" s="82">
        <v>5.5750000000000002</v>
      </c>
      <c r="U6" s="82">
        <v>6.9874999999999998</v>
      </c>
      <c r="V6" s="82">
        <v>8.4</v>
      </c>
      <c r="W6" s="82">
        <v>13.932499999999999</v>
      </c>
      <c r="Y6" s="76" t="s">
        <v>111</v>
      </c>
      <c r="Z6" s="81">
        <v>4</v>
      </c>
      <c r="AA6" s="80">
        <v>0.9425</v>
      </c>
      <c r="AB6" s="82">
        <v>4.3</v>
      </c>
      <c r="AC6" s="82">
        <v>5.7125000000000004</v>
      </c>
      <c r="AD6" s="82">
        <v>7.1275000000000004</v>
      </c>
      <c r="AF6" s="76" t="s">
        <v>111</v>
      </c>
      <c r="AG6" s="112">
        <v>4</v>
      </c>
      <c r="AH6" s="111">
        <v>3.4775</v>
      </c>
      <c r="AI6" s="113">
        <v>4.0525000000000002</v>
      </c>
      <c r="AJ6" s="113">
        <v>5.4649999999999999</v>
      </c>
      <c r="AK6" s="113">
        <v>6.88</v>
      </c>
      <c r="AL6" s="113">
        <v>15.0175</v>
      </c>
      <c r="AN6" s="76" t="s">
        <v>111</v>
      </c>
      <c r="AO6" s="112">
        <v>4</v>
      </c>
      <c r="AP6" s="111">
        <v>3.4775</v>
      </c>
      <c r="AQ6" s="113">
        <v>4.0525000000000002</v>
      </c>
      <c r="AR6" s="113">
        <v>5.4649999999999999</v>
      </c>
      <c r="AS6" s="113">
        <v>6.88</v>
      </c>
      <c r="AT6" s="113">
        <v>15.0175</v>
      </c>
      <c r="AV6" s="76" t="s">
        <v>111</v>
      </c>
      <c r="AW6" s="112">
        <v>4</v>
      </c>
      <c r="AX6" s="111">
        <v>10.225</v>
      </c>
      <c r="AY6" s="113">
        <v>11.827500000000001</v>
      </c>
      <c r="AZ6" s="113">
        <v>13.24</v>
      </c>
      <c r="BA6" s="113">
        <v>14.654999999999999</v>
      </c>
      <c r="BB6" s="113">
        <v>15.9625</v>
      </c>
      <c r="BD6" s="76" t="s">
        <v>111</v>
      </c>
      <c r="BE6" s="112">
        <v>4</v>
      </c>
      <c r="BF6" s="111">
        <v>8.3874999999999993</v>
      </c>
      <c r="BG6" s="113">
        <v>10.6</v>
      </c>
      <c r="BH6" s="113">
        <v>11.9375</v>
      </c>
      <c r="BI6" s="113">
        <v>13.352499999999999</v>
      </c>
      <c r="BJ6" s="113">
        <v>14.66</v>
      </c>
      <c r="BK6" s="135"/>
      <c r="BL6" s="132">
        <v>20</v>
      </c>
      <c r="BM6" s="129">
        <v>4.1275000000000004</v>
      </c>
      <c r="BN6" s="129">
        <v>5.0730000000000004</v>
      </c>
      <c r="BO6" s="129">
        <v>5.4960000000000004</v>
      </c>
      <c r="BP6" s="129">
        <v>6.7645</v>
      </c>
      <c r="BQ6" s="129">
        <v>8.2439999999999998</v>
      </c>
      <c r="BR6" s="129">
        <v>10.1465</v>
      </c>
      <c r="BS6" s="129">
        <v>10.4415</v>
      </c>
      <c r="BT6" s="129">
        <v>13.7325</v>
      </c>
      <c r="BU6" s="129">
        <v>9.266</v>
      </c>
      <c r="BV6" s="129">
        <v>11.9085</v>
      </c>
      <c r="BW6" s="129">
        <v>1.3205</v>
      </c>
      <c r="BX6" s="129">
        <v>16.277000000000001</v>
      </c>
      <c r="BY6" s="129">
        <v>12.570499999999999</v>
      </c>
      <c r="BZ6" s="129">
        <v>16.273</v>
      </c>
      <c r="CA6" s="129">
        <v>14.698</v>
      </c>
      <c r="CB6" s="129">
        <v>18.1935</v>
      </c>
      <c r="CC6" s="129">
        <v>19.282</v>
      </c>
      <c r="CD6" s="129">
        <v>23.943000000000001</v>
      </c>
      <c r="CE6" s="129"/>
      <c r="CF6" s="129"/>
      <c r="CG6" s="129"/>
      <c r="CH6" s="129"/>
      <c r="CI6" s="129"/>
      <c r="CJ6" s="129"/>
    </row>
    <row r="7" spans="1:88" ht="15" thickBot="1">
      <c r="A7" s="76" t="s">
        <v>111</v>
      </c>
      <c r="B7" s="81">
        <v>8</v>
      </c>
      <c r="C7" s="82">
        <v>2.61</v>
      </c>
      <c r="D7" s="82">
        <v>3.0637500000000002</v>
      </c>
      <c r="E7" s="82">
        <v>4.2662500000000003</v>
      </c>
      <c r="F7" s="82">
        <v>5.4675000000000002</v>
      </c>
      <c r="G7" s="82">
        <v>6.58</v>
      </c>
      <c r="I7" s="76" t="s">
        <v>111</v>
      </c>
      <c r="J7" s="81">
        <v>8</v>
      </c>
      <c r="K7" s="82">
        <v>3.3149999999999999</v>
      </c>
      <c r="L7" s="82">
        <v>3.92</v>
      </c>
      <c r="M7" s="82">
        <v>5.1212499999999999</v>
      </c>
      <c r="N7" s="82">
        <v>6.3224999999999998</v>
      </c>
      <c r="O7" s="82">
        <v>10.90875</v>
      </c>
      <c r="Q7" s="76" t="s">
        <v>111</v>
      </c>
      <c r="R7" s="81">
        <v>8</v>
      </c>
      <c r="S7" s="82">
        <v>3.4662500000000001</v>
      </c>
      <c r="T7" s="82">
        <v>4.1475</v>
      </c>
      <c r="U7" s="82">
        <v>5.3487499999999999</v>
      </c>
      <c r="V7" s="82">
        <v>6.55</v>
      </c>
      <c r="W7" s="82">
        <v>9.7650000000000006</v>
      </c>
      <c r="Y7" s="76" t="s">
        <v>111</v>
      </c>
      <c r="Z7" s="81">
        <v>8</v>
      </c>
      <c r="AA7" s="82">
        <v>2.61</v>
      </c>
      <c r="AB7" s="82">
        <v>3.0637500000000002</v>
      </c>
      <c r="AC7" s="82">
        <v>4.2662500000000003</v>
      </c>
      <c r="AD7" s="82">
        <v>5.4675000000000002</v>
      </c>
      <c r="AF7" s="76" t="s">
        <v>111</v>
      </c>
      <c r="AG7" s="112">
        <v>8</v>
      </c>
      <c r="AH7" s="113">
        <v>2.67875</v>
      </c>
      <c r="AI7" s="113">
        <v>3.1662499999999998</v>
      </c>
      <c r="AJ7" s="113">
        <v>4.3674999999999997</v>
      </c>
      <c r="AK7" s="113">
        <v>5.5687499999999996</v>
      </c>
      <c r="AL7" s="113">
        <v>9.6475000000000009</v>
      </c>
      <c r="AN7" s="76" t="s">
        <v>111</v>
      </c>
      <c r="AO7" s="112">
        <v>8</v>
      </c>
      <c r="AP7" s="113">
        <v>2.67875</v>
      </c>
      <c r="AQ7" s="113">
        <v>3.1662499999999998</v>
      </c>
      <c r="AR7" s="113">
        <v>4.3674999999999997</v>
      </c>
      <c r="AS7" s="113">
        <v>5.5687499999999996</v>
      </c>
      <c r="AT7" s="113">
        <v>9.6475000000000009</v>
      </c>
      <c r="AV7" s="76" t="s">
        <v>111</v>
      </c>
      <c r="AW7" s="112">
        <v>8</v>
      </c>
      <c r="AX7" s="113">
        <v>5.6624999999999996</v>
      </c>
      <c r="AY7" s="113">
        <v>6.9812500000000002</v>
      </c>
      <c r="AZ7" s="113">
        <v>8.1837499999999999</v>
      </c>
      <c r="BA7" s="113">
        <v>9.3837499999999991</v>
      </c>
      <c r="BB7" s="113">
        <v>10.4975</v>
      </c>
      <c r="BD7" s="76" t="s">
        <v>111</v>
      </c>
      <c r="BE7" s="112">
        <v>8</v>
      </c>
      <c r="BF7" s="113">
        <v>6.3762499999999998</v>
      </c>
      <c r="BG7" s="113">
        <v>8.1349999999999998</v>
      </c>
      <c r="BH7" s="113">
        <v>9.3362499999999997</v>
      </c>
      <c r="BI7" s="113">
        <v>10.5375</v>
      </c>
      <c r="BJ7" s="113">
        <v>11.65</v>
      </c>
      <c r="BK7" s="135"/>
      <c r="BL7" s="132">
        <v>50</v>
      </c>
      <c r="BM7" s="129">
        <v>3.4712000000000001</v>
      </c>
      <c r="BN7" s="129">
        <v>4.2721999999999998</v>
      </c>
      <c r="BO7" s="129">
        <v>4.6281999999999996</v>
      </c>
      <c r="BP7" s="129">
        <v>5.6963999999999997</v>
      </c>
      <c r="BQ7" s="129">
        <v>6.9493999999999998</v>
      </c>
      <c r="BR7" s="129">
        <v>8.5446000000000009</v>
      </c>
      <c r="BS7" s="129">
        <v>8.6234000000000002</v>
      </c>
      <c r="BT7" s="129">
        <v>11.2864</v>
      </c>
      <c r="BU7" s="129">
        <v>7.7302</v>
      </c>
      <c r="BV7" s="129">
        <v>9.8686000000000007</v>
      </c>
      <c r="BW7" s="129">
        <v>10.8438</v>
      </c>
      <c r="BX7" s="129">
        <v>13.617800000000001</v>
      </c>
      <c r="BY7" s="129">
        <v>10.467599999999999</v>
      </c>
      <c r="BZ7" s="129">
        <v>13.4634</v>
      </c>
      <c r="CA7" s="129">
        <v>12.099</v>
      </c>
      <c r="CB7" s="129">
        <v>15.2194</v>
      </c>
      <c r="CC7" s="129">
        <v>15.863799999999999</v>
      </c>
      <c r="CD7" s="129">
        <v>20.024799999999999</v>
      </c>
      <c r="CE7" s="129"/>
      <c r="CF7" s="129"/>
      <c r="CG7" s="129"/>
      <c r="CH7" s="129"/>
      <c r="CI7" s="129"/>
      <c r="CJ7" s="129"/>
    </row>
    <row r="8" spans="1:88" ht="15" thickBot="1">
      <c r="A8" s="76" t="s">
        <v>111</v>
      </c>
      <c r="B8" s="81">
        <v>10</v>
      </c>
      <c r="C8" s="82">
        <v>2.492</v>
      </c>
      <c r="D8" s="82">
        <v>2.9460000000000002</v>
      </c>
      <c r="E8" s="82">
        <v>4.1470000000000002</v>
      </c>
      <c r="F8" s="82">
        <v>5.3490000000000002</v>
      </c>
      <c r="G8" s="82">
        <v>6.4620000000000006</v>
      </c>
      <c r="I8" s="76" t="s">
        <v>111</v>
      </c>
      <c r="J8" s="81">
        <v>10</v>
      </c>
      <c r="K8" s="82">
        <v>3.1710000000000003</v>
      </c>
      <c r="L8" s="82">
        <v>3.7770000000000001</v>
      </c>
      <c r="M8" s="82">
        <v>4.9779999999999998</v>
      </c>
      <c r="N8" s="82">
        <v>6.18</v>
      </c>
      <c r="O8" s="82">
        <v>9.82</v>
      </c>
      <c r="Q8" s="76" t="s">
        <v>111</v>
      </c>
      <c r="R8" s="81">
        <v>10</v>
      </c>
      <c r="S8" s="82">
        <v>3.3229999999999995</v>
      </c>
      <c r="T8" s="82">
        <v>4.0030000000000001</v>
      </c>
      <c r="U8" s="82">
        <v>5.2050000000000001</v>
      </c>
      <c r="V8" s="82">
        <v>6.4060000000000006</v>
      </c>
      <c r="W8" s="82">
        <v>8.7309999999999999</v>
      </c>
      <c r="Y8" s="76" t="s">
        <v>111</v>
      </c>
      <c r="Z8" s="81">
        <v>10</v>
      </c>
      <c r="AA8" s="82">
        <v>2.492</v>
      </c>
      <c r="AB8" s="82">
        <v>2.9460000000000002</v>
      </c>
      <c r="AC8" s="82">
        <v>4.1470000000000002</v>
      </c>
      <c r="AD8" s="82">
        <v>5.3490000000000002</v>
      </c>
      <c r="AF8" s="76" t="s">
        <v>111</v>
      </c>
      <c r="AG8" s="112">
        <v>10</v>
      </c>
      <c r="AH8" s="113">
        <v>2.6230000000000002</v>
      </c>
      <c r="AI8" s="113">
        <v>3.1100000000000003</v>
      </c>
      <c r="AJ8" s="113">
        <v>4.3130000000000006</v>
      </c>
      <c r="AK8" s="113">
        <v>5.5129999999999999</v>
      </c>
      <c r="AL8" s="113">
        <v>8.6359999999999992</v>
      </c>
      <c r="AN8" s="76" t="s">
        <v>111</v>
      </c>
      <c r="AO8" s="112">
        <v>10</v>
      </c>
      <c r="AP8" s="113">
        <v>2.6230000000000002</v>
      </c>
      <c r="AQ8" s="113">
        <v>3.1100000000000003</v>
      </c>
      <c r="AR8" s="113">
        <v>4.3119999999999994</v>
      </c>
      <c r="AS8" s="113">
        <v>5.5129999999999999</v>
      </c>
      <c r="AT8" s="113">
        <v>8.6359999999999992</v>
      </c>
      <c r="AV8" s="76" t="s">
        <v>111</v>
      </c>
      <c r="AW8" s="112">
        <v>10</v>
      </c>
      <c r="AX8" s="113">
        <v>6.3630000000000004</v>
      </c>
      <c r="AY8" s="113">
        <v>7.6819999999999995</v>
      </c>
      <c r="AZ8" s="113">
        <v>8.8840000000000003</v>
      </c>
      <c r="BA8" s="113">
        <v>10.084999999999999</v>
      </c>
      <c r="BB8" s="113">
        <v>11.198</v>
      </c>
      <c r="BD8" s="76" t="s">
        <v>111</v>
      </c>
      <c r="BE8" s="112">
        <v>10</v>
      </c>
      <c r="BF8" s="113">
        <v>6.0939999999999994</v>
      </c>
      <c r="BG8" s="113">
        <v>7.7959999999999994</v>
      </c>
      <c r="BH8" s="113">
        <v>8.9969999999999999</v>
      </c>
      <c r="BI8" s="113">
        <v>10.199</v>
      </c>
      <c r="BJ8" s="113">
        <v>11.312000000000001</v>
      </c>
      <c r="BK8" s="135"/>
      <c r="BL8" s="132">
        <v>100</v>
      </c>
      <c r="BM8" s="129">
        <v>3.0337000000000001</v>
      </c>
      <c r="BN8" s="129">
        <v>3.7382</v>
      </c>
      <c r="BO8" s="129">
        <v>4.0496999999999996</v>
      </c>
      <c r="BP8" s="129">
        <v>4.9843000000000002</v>
      </c>
      <c r="BQ8" s="129">
        <v>6.0746000000000002</v>
      </c>
      <c r="BR8" s="129">
        <v>7.4763999999999999</v>
      </c>
      <c r="BS8" s="129">
        <v>8.1447000000000003</v>
      </c>
      <c r="BT8" s="129">
        <v>10.225199999999999</v>
      </c>
      <c r="BU8" s="129">
        <v>7.2845000000000004</v>
      </c>
      <c r="BV8" s="129">
        <v>8.9550999999999998</v>
      </c>
      <c r="BW8" s="129">
        <v>10.6547</v>
      </c>
      <c r="BX8" s="129">
        <v>13.428599999999999</v>
      </c>
      <c r="BY8" s="129">
        <v>10.0656</v>
      </c>
      <c r="BZ8" s="129">
        <v>12.4062</v>
      </c>
      <c r="CA8" s="129">
        <v>11.909700000000001</v>
      </c>
      <c r="CB8" s="129">
        <v>15.0304</v>
      </c>
      <c r="CC8" s="129">
        <v>15.6747</v>
      </c>
      <c r="CD8" s="129">
        <v>19.835599999999999</v>
      </c>
      <c r="CE8" s="129"/>
      <c r="CF8" s="129"/>
      <c r="CG8" s="129"/>
      <c r="CH8" s="129"/>
      <c r="CI8" s="129"/>
      <c r="CJ8" s="129"/>
    </row>
    <row r="9" spans="1:88" ht="15" thickBot="1">
      <c r="A9" s="76" t="s">
        <v>111</v>
      </c>
      <c r="B9" s="81">
        <v>16</v>
      </c>
      <c r="C9" s="82">
        <v>2.3143750000000001</v>
      </c>
      <c r="D9" s="82">
        <v>2.7681249999999999</v>
      </c>
      <c r="E9" s="82">
        <v>3.97</v>
      </c>
      <c r="F9" s="82">
        <v>5.171875</v>
      </c>
      <c r="G9" s="82">
        <v>6.2843749999999998</v>
      </c>
      <c r="I9" s="76" t="s">
        <v>111</v>
      </c>
      <c r="J9" s="81">
        <v>16</v>
      </c>
      <c r="K9" s="82">
        <v>2.9556249999999999</v>
      </c>
      <c r="L9" s="82">
        <v>3.5425</v>
      </c>
      <c r="M9" s="82">
        <v>4.7443749999999998</v>
      </c>
      <c r="N9" s="82">
        <v>5.9456249999999997</v>
      </c>
      <c r="O9" s="82">
        <v>8.2618749999999999</v>
      </c>
      <c r="Q9" s="76" t="s">
        <v>111</v>
      </c>
      <c r="R9" s="81">
        <v>16</v>
      </c>
      <c r="S9" s="82">
        <v>3.1025</v>
      </c>
      <c r="T9" s="82">
        <v>3.7625000000000002</v>
      </c>
      <c r="U9" s="82">
        <v>4.9637500000000001</v>
      </c>
      <c r="V9" s="82">
        <v>6.1656250000000004</v>
      </c>
      <c r="W9" s="82">
        <v>7.2781250000000002</v>
      </c>
      <c r="Y9" s="76" t="s">
        <v>111</v>
      </c>
      <c r="Z9" s="81">
        <v>16</v>
      </c>
      <c r="AA9" s="82">
        <v>2.3143750000000001</v>
      </c>
      <c r="AB9" s="82">
        <v>2.7681249999999999</v>
      </c>
      <c r="AC9" s="82">
        <v>3.97</v>
      </c>
      <c r="AD9" s="82">
        <v>5.171875</v>
      </c>
      <c r="AF9" s="76" t="s">
        <v>111</v>
      </c>
      <c r="AG9" s="112">
        <v>16</v>
      </c>
      <c r="AH9" s="113">
        <v>2.5393750000000002</v>
      </c>
      <c r="AI9" s="113">
        <v>3.0262500000000001</v>
      </c>
      <c r="AJ9" s="113">
        <v>4.2281250000000004</v>
      </c>
      <c r="AK9" s="113">
        <v>5.43</v>
      </c>
      <c r="AL9" s="113">
        <v>7.0656249999999998</v>
      </c>
      <c r="AN9" s="76" t="s">
        <v>111</v>
      </c>
      <c r="AO9" s="112">
        <v>16</v>
      </c>
      <c r="AP9" s="113">
        <v>2.5393750000000002</v>
      </c>
      <c r="AQ9" s="113">
        <v>3.0262500000000001</v>
      </c>
      <c r="AR9" s="113">
        <v>4.2281250000000004</v>
      </c>
      <c r="AS9" s="113">
        <v>5.43</v>
      </c>
      <c r="AT9" s="113">
        <v>7.0656249999999998</v>
      </c>
      <c r="AV9" s="76" t="s">
        <v>111</v>
      </c>
      <c r="AW9" s="112">
        <v>16</v>
      </c>
      <c r="AX9" s="113">
        <v>5.0656249999999998</v>
      </c>
      <c r="AY9" s="113">
        <v>6.3418749999999999</v>
      </c>
      <c r="AZ9" s="113">
        <v>7.5437500000000002</v>
      </c>
      <c r="BA9" s="113">
        <v>8.7449999999999992</v>
      </c>
      <c r="BB9" s="113">
        <v>9.8581249999999994</v>
      </c>
      <c r="BD9" s="76" t="s">
        <v>111</v>
      </c>
      <c r="BE9" s="112">
        <v>16</v>
      </c>
      <c r="BF9" s="113">
        <v>5.9162499999999998</v>
      </c>
      <c r="BG9" s="113">
        <v>7.6187500000000004</v>
      </c>
      <c r="BH9" s="113">
        <v>8.8206249999999997</v>
      </c>
      <c r="BI9" s="113">
        <v>10.02125</v>
      </c>
      <c r="BJ9" s="113">
        <v>11.15625</v>
      </c>
      <c r="BK9" s="135"/>
      <c r="BM9" s="130">
        <v>10</v>
      </c>
      <c r="BO9" s="130">
        <v>8</v>
      </c>
      <c r="BQ9" s="130">
        <v>4</v>
      </c>
      <c r="BS9" s="130">
        <v>4</v>
      </c>
      <c r="BU9" s="130">
        <v>2</v>
      </c>
      <c r="BW9" s="130">
        <v>2</v>
      </c>
      <c r="BX9" s="130"/>
      <c r="BY9" s="130">
        <v>2</v>
      </c>
      <c r="BZ9" s="130"/>
      <c r="CA9" s="130">
        <v>2</v>
      </c>
      <c r="CB9" s="130"/>
      <c r="CC9" s="130">
        <v>2</v>
      </c>
      <c r="CD9" s="130"/>
      <c r="CE9">
        <v>1</v>
      </c>
      <c r="CG9">
        <v>1</v>
      </c>
      <c r="CI9">
        <v>1</v>
      </c>
    </row>
    <row r="10" spans="1:88" ht="15" thickBot="1">
      <c r="A10" s="76" t="s">
        <v>111</v>
      </c>
      <c r="B10" s="81">
        <v>20</v>
      </c>
      <c r="C10" s="82">
        <v>2.2145000000000001</v>
      </c>
      <c r="D10" s="82">
        <v>2.6539999999999999</v>
      </c>
      <c r="E10" s="82">
        <v>3.8560000000000003</v>
      </c>
      <c r="F10" s="82">
        <v>5.0575000000000001</v>
      </c>
      <c r="G10" s="82">
        <v>6.17</v>
      </c>
      <c r="I10" s="76" t="s">
        <v>111</v>
      </c>
      <c r="J10" s="81">
        <v>20</v>
      </c>
      <c r="K10" s="82">
        <v>2.8715000000000002</v>
      </c>
      <c r="L10" s="82">
        <v>3.4579999999999997</v>
      </c>
      <c r="M10" s="82">
        <v>4.6594999999999995</v>
      </c>
      <c r="N10" s="82">
        <v>5.8609999999999998</v>
      </c>
      <c r="O10" s="82">
        <v>8.5945</v>
      </c>
      <c r="Q10" s="76" t="s">
        <v>111</v>
      </c>
      <c r="R10" s="81">
        <v>20</v>
      </c>
      <c r="S10" s="82">
        <v>3.0185</v>
      </c>
      <c r="T10" s="82">
        <v>3.6779999999999999</v>
      </c>
      <c r="U10" s="82">
        <v>4.88</v>
      </c>
      <c r="V10" s="82">
        <v>6.0815000000000001</v>
      </c>
      <c r="W10" s="82">
        <v>7.5449999999999999</v>
      </c>
      <c r="Y10" s="76" t="s">
        <v>111</v>
      </c>
      <c r="Z10" s="81">
        <v>20</v>
      </c>
      <c r="AA10" s="82">
        <v>2.2145000000000001</v>
      </c>
      <c r="AB10" s="82">
        <v>2.6539999999999999</v>
      </c>
      <c r="AC10" s="82">
        <v>3.8560000000000003</v>
      </c>
      <c r="AD10" s="82">
        <v>5.0575000000000001</v>
      </c>
      <c r="AF10" s="76" t="s">
        <v>111</v>
      </c>
      <c r="AG10" s="112">
        <v>20</v>
      </c>
      <c r="AH10" s="113">
        <v>2.5114999999999998</v>
      </c>
      <c r="AI10" s="113">
        <v>2.9989999999999997</v>
      </c>
      <c r="AJ10" s="113">
        <v>4.2004999999999999</v>
      </c>
      <c r="AK10" s="113">
        <v>5.4020000000000001</v>
      </c>
      <c r="AL10" s="113">
        <v>7.4034999999999993</v>
      </c>
      <c r="AN10" s="76" t="s">
        <v>111</v>
      </c>
      <c r="AO10" s="112">
        <v>20</v>
      </c>
      <c r="AP10" s="113">
        <v>2.5114999999999998</v>
      </c>
      <c r="AQ10" s="113">
        <v>2.9989999999999997</v>
      </c>
      <c r="AR10" s="113">
        <v>4.2004999999999999</v>
      </c>
      <c r="AS10" s="113">
        <v>5.4020000000000001</v>
      </c>
      <c r="AT10" s="113">
        <v>7.4034999999999993</v>
      </c>
      <c r="AV10" s="76" t="s">
        <v>111</v>
      </c>
      <c r="AW10" s="112">
        <v>20</v>
      </c>
      <c r="AX10" s="113">
        <v>5.0060000000000002</v>
      </c>
      <c r="AY10" s="113">
        <v>6.2829999999999995</v>
      </c>
      <c r="AZ10" s="113">
        <v>7.4844999999999997</v>
      </c>
      <c r="BA10" s="113">
        <v>8.6859999999999999</v>
      </c>
      <c r="BB10" s="113">
        <v>9.7985000000000007</v>
      </c>
      <c r="BD10" s="76" t="s">
        <v>111</v>
      </c>
      <c r="BE10" s="112">
        <v>20</v>
      </c>
      <c r="BF10" s="113">
        <v>5.8574999999999999</v>
      </c>
      <c r="BG10" s="113">
        <v>7.5594999999999999</v>
      </c>
      <c r="BH10" s="113">
        <v>8.7609999999999992</v>
      </c>
      <c r="BI10" s="113">
        <v>9.9629999999999992</v>
      </c>
      <c r="BJ10" s="113">
        <v>11.074999999999999</v>
      </c>
      <c r="BK10" s="135"/>
    </row>
    <row r="11" spans="1:88" ht="15" thickBot="1">
      <c r="A11" s="76" t="s">
        <v>111</v>
      </c>
      <c r="B11" s="81">
        <v>30</v>
      </c>
      <c r="C11" s="82">
        <v>2.1356666666666664</v>
      </c>
      <c r="D11" s="82">
        <v>2.5756666666666663</v>
      </c>
      <c r="E11" s="82">
        <v>3.7770000000000001</v>
      </c>
      <c r="F11" s="82">
        <v>4.9786666666666672</v>
      </c>
      <c r="G11" s="82">
        <v>6.0909999999999993</v>
      </c>
      <c r="I11" s="76" t="s">
        <v>111</v>
      </c>
      <c r="J11" s="81">
        <v>30</v>
      </c>
      <c r="K11" s="82">
        <v>2.7550000000000003</v>
      </c>
      <c r="L11" s="82">
        <v>3.3226666666666671</v>
      </c>
      <c r="M11" s="82">
        <v>4.5243333333333329</v>
      </c>
      <c r="N11" s="82">
        <v>5.726</v>
      </c>
      <c r="O11" s="82">
        <v>7.5666666666666664</v>
      </c>
      <c r="Q11" s="76" t="s">
        <v>111</v>
      </c>
      <c r="R11" s="81">
        <v>30</v>
      </c>
      <c r="S11" s="82">
        <v>2.8969999999999998</v>
      </c>
      <c r="T11" s="82">
        <v>3.5353333333333334</v>
      </c>
      <c r="U11" s="82">
        <v>4.7370000000000001</v>
      </c>
      <c r="V11" s="82">
        <v>5.9386666666666663</v>
      </c>
      <c r="W11" s="82">
        <v>7.051333333333333</v>
      </c>
      <c r="Y11" s="76" t="s">
        <v>111</v>
      </c>
      <c r="Z11" s="81">
        <v>30</v>
      </c>
      <c r="AA11" s="82">
        <v>2.1356666666666664</v>
      </c>
      <c r="AB11" s="82">
        <v>2.5756666666666663</v>
      </c>
      <c r="AC11" s="82">
        <v>3.7770000000000001</v>
      </c>
      <c r="AD11" s="82">
        <v>4.9786666666666672</v>
      </c>
      <c r="AF11" s="76" t="s">
        <v>111</v>
      </c>
      <c r="AG11" s="112">
        <v>30</v>
      </c>
      <c r="AH11" s="113">
        <v>2.4746666666666663</v>
      </c>
      <c r="AI11" s="113">
        <v>2.5586666666666669</v>
      </c>
      <c r="AJ11" s="113">
        <v>3.7603333333333335</v>
      </c>
      <c r="AK11" s="113">
        <v>4.9620000000000006</v>
      </c>
      <c r="AL11" s="113">
        <v>6.423</v>
      </c>
      <c r="AN11" s="76" t="s">
        <v>111</v>
      </c>
      <c r="AO11" s="112">
        <v>30</v>
      </c>
      <c r="AP11" s="113">
        <v>2.4746666666666663</v>
      </c>
      <c r="AQ11" s="113">
        <v>2.5586666666666669</v>
      </c>
      <c r="AR11" s="113">
        <v>3.7603333333333335</v>
      </c>
      <c r="AS11" s="113">
        <v>4.9620000000000006</v>
      </c>
      <c r="AT11" s="113">
        <v>6.423</v>
      </c>
      <c r="AV11" s="76" t="s">
        <v>111</v>
      </c>
      <c r="AW11" s="112">
        <v>30</v>
      </c>
      <c r="AX11" s="113">
        <v>4.8769999999999998</v>
      </c>
      <c r="AY11" s="113">
        <v>6.1536666666666671</v>
      </c>
      <c r="AZ11" s="113">
        <v>7.3553333333333333</v>
      </c>
      <c r="BA11" s="113">
        <v>8.5569999999999986</v>
      </c>
      <c r="BB11" s="113">
        <v>9.6696666666666662</v>
      </c>
      <c r="BD11" s="76" t="s">
        <v>111</v>
      </c>
      <c r="BE11" s="112">
        <v>30</v>
      </c>
      <c r="BF11" s="113">
        <v>5.6146666666666665</v>
      </c>
      <c r="BG11" s="113">
        <v>7.2603333333333335</v>
      </c>
      <c r="BH11" s="113">
        <v>8.461666666666666</v>
      </c>
      <c r="BI11" s="113">
        <v>9.6633333333333322</v>
      </c>
      <c r="BJ11" s="113">
        <v>10.776</v>
      </c>
      <c r="BK11" s="135"/>
    </row>
    <row r="12" spans="1:88" ht="15" thickBot="1">
      <c r="A12" s="76" t="s">
        <v>111</v>
      </c>
      <c r="B12" s="81">
        <v>50</v>
      </c>
      <c r="C12" s="82">
        <v>2.0316000000000001</v>
      </c>
      <c r="D12" s="82">
        <v>2.4571999999999998</v>
      </c>
      <c r="E12" s="82">
        <v>3.6587999999999998</v>
      </c>
      <c r="F12" s="82">
        <v>4.8604000000000003</v>
      </c>
      <c r="G12" s="82">
        <v>5.9732000000000003</v>
      </c>
      <c r="I12" s="76" t="s">
        <v>111</v>
      </c>
      <c r="J12" s="81">
        <v>50</v>
      </c>
      <c r="K12" s="82">
        <v>2.6672000000000002</v>
      </c>
      <c r="L12" s="82">
        <v>3.2343999999999999</v>
      </c>
      <c r="M12" s="82">
        <v>4.4359999999999999</v>
      </c>
      <c r="N12" s="82">
        <v>5.6377999999999995</v>
      </c>
      <c r="O12" s="82">
        <v>7.4954000000000001</v>
      </c>
      <c r="Q12" s="76" t="s">
        <v>111</v>
      </c>
      <c r="R12" s="81">
        <v>50</v>
      </c>
      <c r="S12" s="82">
        <v>2.8089999999999997</v>
      </c>
      <c r="T12" s="82">
        <v>3.4472000000000005</v>
      </c>
      <c r="U12" s="82">
        <v>4.6487999999999996</v>
      </c>
      <c r="V12" s="82">
        <v>5.8505999999999991</v>
      </c>
      <c r="W12" s="82">
        <v>6.9629999999999992</v>
      </c>
      <c r="Y12" s="76" t="s">
        <v>111</v>
      </c>
      <c r="Z12" s="81">
        <v>50</v>
      </c>
      <c r="AA12" s="82">
        <v>2.0316000000000001</v>
      </c>
      <c r="AB12" s="82">
        <v>2.4571999999999998</v>
      </c>
      <c r="AC12" s="82">
        <v>3.6587999999999998</v>
      </c>
      <c r="AD12" s="82">
        <v>4.8604000000000003</v>
      </c>
      <c r="AF12" s="76" t="s">
        <v>111</v>
      </c>
      <c r="AG12" s="112">
        <v>50</v>
      </c>
      <c r="AH12" s="113">
        <v>1.8525999999999998</v>
      </c>
      <c r="AI12" s="113">
        <v>2.1408</v>
      </c>
      <c r="AJ12" s="113">
        <v>3.3495999999999997</v>
      </c>
      <c r="AK12" s="113">
        <v>4.5511999999999997</v>
      </c>
      <c r="AL12" s="113">
        <v>6.3320000000000007</v>
      </c>
      <c r="AN12" s="76" t="s">
        <v>111</v>
      </c>
      <c r="AO12" s="112">
        <v>50</v>
      </c>
      <c r="AP12" s="113"/>
      <c r="AQ12" s="113"/>
      <c r="AR12" s="113"/>
      <c r="AS12" s="113"/>
      <c r="AT12" s="113"/>
      <c r="AV12" s="76" t="s">
        <v>111</v>
      </c>
      <c r="AW12" s="112">
        <v>50</v>
      </c>
      <c r="AX12" s="113">
        <v>4.6787999999999998</v>
      </c>
      <c r="AY12" s="113">
        <v>5.9127999999999998</v>
      </c>
      <c r="AZ12" s="113">
        <v>7.1144000000000007</v>
      </c>
      <c r="BA12" s="113">
        <v>8.3160000000000007</v>
      </c>
      <c r="BB12" s="113">
        <v>9.4285999999999994</v>
      </c>
      <c r="BD12" s="76" t="s">
        <v>111</v>
      </c>
      <c r="BE12" s="112">
        <v>50</v>
      </c>
      <c r="BF12" s="113">
        <v>5.3879999999999999</v>
      </c>
      <c r="BG12" s="113">
        <v>6.5532000000000004</v>
      </c>
      <c r="BH12" s="113">
        <v>7.7548000000000004</v>
      </c>
      <c r="BI12" s="113">
        <v>8.9562000000000008</v>
      </c>
      <c r="BJ12" s="113">
        <v>10.0688</v>
      </c>
      <c r="BK12" s="135"/>
    </row>
    <row r="13" spans="1:88" ht="13.8">
      <c r="A13" s="76"/>
      <c r="B13" s="76"/>
      <c r="C13" s="83"/>
      <c r="D13" s="83"/>
      <c r="E13" s="83"/>
      <c r="F13" s="83"/>
      <c r="G13" s="83"/>
      <c r="I13" s="76"/>
      <c r="J13" s="76"/>
      <c r="K13" s="83"/>
      <c r="L13" s="83"/>
      <c r="M13" s="83"/>
      <c r="N13" s="83"/>
      <c r="O13" s="83"/>
      <c r="Q13" s="76"/>
      <c r="R13" s="76"/>
      <c r="S13" s="83"/>
      <c r="T13" s="83"/>
      <c r="U13" s="83"/>
      <c r="V13" s="83"/>
      <c r="W13" s="83"/>
      <c r="Y13" s="76"/>
      <c r="Z13" s="76"/>
      <c r="AA13" s="83"/>
      <c r="AB13" s="83"/>
      <c r="AC13" s="83"/>
      <c r="AD13" s="83"/>
      <c r="AF13" s="76"/>
      <c r="AG13" s="114"/>
      <c r="AH13" s="115"/>
      <c r="AI13" s="115"/>
      <c r="AJ13" s="115"/>
      <c r="AK13" s="115"/>
      <c r="AL13" s="115"/>
      <c r="AN13" s="76"/>
      <c r="AO13" s="76"/>
      <c r="AP13" s="83"/>
      <c r="AQ13" s="83"/>
      <c r="AR13" s="83"/>
      <c r="AS13" s="83"/>
      <c r="AT13" s="83"/>
      <c r="AV13" s="76"/>
      <c r="AW13" s="76"/>
      <c r="AX13" s="83"/>
      <c r="AY13" s="83"/>
      <c r="AZ13" s="83"/>
      <c r="BA13" s="83"/>
      <c r="BB13" s="83"/>
      <c r="BD13" s="76"/>
      <c r="BE13" s="76"/>
      <c r="BF13" s="83"/>
      <c r="BG13" s="83"/>
      <c r="BH13" s="83"/>
      <c r="BI13" s="83"/>
      <c r="BJ13" s="83"/>
      <c r="BK13" s="83"/>
    </row>
    <row r="14" spans="1:88" ht="14.4" thickBot="1">
      <c r="A14" s="76"/>
      <c r="B14" s="76"/>
      <c r="C14" s="83"/>
      <c r="D14" s="83"/>
      <c r="E14" s="83"/>
      <c r="F14" s="83"/>
      <c r="G14" s="83"/>
      <c r="I14" s="76"/>
      <c r="J14" s="76"/>
      <c r="K14" s="83"/>
      <c r="L14" s="83"/>
      <c r="M14" s="83"/>
      <c r="N14" s="83"/>
      <c r="O14" s="83"/>
      <c r="Q14" s="76"/>
      <c r="R14" s="76"/>
      <c r="S14" s="83"/>
      <c r="T14" s="83"/>
      <c r="U14" s="83"/>
      <c r="V14" s="83"/>
      <c r="W14" s="83"/>
      <c r="Y14" s="76"/>
      <c r="Z14" s="76"/>
      <c r="AA14" s="83"/>
      <c r="AB14" s="83"/>
      <c r="AC14" s="83"/>
      <c r="AD14" s="83"/>
      <c r="AF14" s="76"/>
      <c r="AG14" s="76"/>
      <c r="AH14" s="83"/>
      <c r="AI14" s="83"/>
      <c r="AJ14" s="83"/>
      <c r="AK14" s="83"/>
      <c r="AL14" s="83"/>
      <c r="AN14" s="76"/>
      <c r="AO14" s="76"/>
      <c r="AP14" s="83"/>
      <c r="AQ14" s="83"/>
      <c r="AR14" s="83"/>
      <c r="AS14" s="83"/>
      <c r="AT14" s="83"/>
      <c r="AV14" s="76"/>
      <c r="AW14" s="76"/>
      <c r="AX14" s="83"/>
      <c r="AY14" s="83"/>
      <c r="AZ14" s="83"/>
      <c r="BA14" s="83"/>
      <c r="BB14" s="83"/>
      <c r="BD14" s="76"/>
      <c r="BE14" s="76"/>
      <c r="BF14" s="83"/>
      <c r="BG14" s="83"/>
      <c r="BH14" s="83"/>
      <c r="BI14" s="83"/>
      <c r="BJ14" s="83"/>
      <c r="BK14" s="83"/>
    </row>
    <row r="15" spans="1:88" ht="29.4" thickBot="1">
      <c r="A15" s="76"/>
      <c r="B15" s="77" t="s">
        <v>77</v>
      </c>
      <c r="C15" s="78" t="s">
        <v>93</v>
      </c>
      <c r="D15" s="78"/>
      <c r="E15" s="78" t="s">
        <v>112</v>
      </c>
      <c r="F15" s="78"/>
      <c r="G15" s="79" t="s">
        <v>113</v>
      </c>
      <c r="I15" s="76"/>
      <c r="J15" s="77" t="s">
        <v>77</v>
      </c>
      <c r="K15" s="85" t="s">
        <v>94</v>
      </c>
      <c r="L15" s="86"/>
      <c r="M15" s="78" t="s">
        <v>112</v>
      </c>
      <c r="N15" s="78"/>
      <c r="O15" s="79" t="s">
        <v>113</v>
      </c>
      <c r="Q15" s="76"/>
      <c r="R15" s="81" t="s">
        <v>77</v>
      </c>
      <c r="S15" s="105" t="s">
        <v>95</v>
      </c>
      <c r="T15" s="105"/>
      <c r="U15" s="79" t="s">
        <v>112</v>
      </c>
      <c r="V15" s="79"/>
      <c r="W15" s="79" t="s">
        <v>113</v>
      </c>
      <c r="Y15" s="76"/>
      <c r="Z15" s="81" t="s">
        <v>77</v>
      </c>
      <c r="AA15" s="79" t="s">
        <v>122</v>
      </c>
      <c r="AB15" s="79"/>
      <c r="AC15" s="79" t="s">
        <v>112</v>
      </c>
      <c r="AD15" s="79"/>
      <c r="AF15" s="76"/>
      <c r="AG15" s="108" t="s">
        <v>77</v>
      </c>
      <c r="AH15" s="109" t="s">
        <v>97</v>
      </c>
      <c r="AI15" s="109"/>
      <c r="AJ15" s="109" t="s">
        <v>112</v>
      </c>
      <c r="AK15" s="109"/>
      <c r="AL15" s="110" t="s">
        <v>113</v>
      </c>
      <c r="AN15" s="76"/>
      <c r="AO15" s="108" t="s">
        <v>77</v>
      </c>
      <c r="AP15" s="109" t="s">
        <v>92</v>
      </c>
      <c r="AQ15" s="109"/>
      <c r="AR15" s="109" t="s">
        <v>112</v>
      </c>
      <c r="AS15" s="109"/>
      <c r="AT15" s="110" t="s">
        <v>113</v>
      </c>
      <c r="AV15" s="76"/>
      <c r="AW15" s="108" t="s">
        <v>77</v>
      </c>
      <c r="AX15" s="109" t="s">
        <v>99</v>
      </c>
      <c r="AY15" s="109"/>
      <c r="AZ15" s="109" t="s">
        <v>112</v>
      </c>
      <c r="BA15" s="109"/>
      <c r="BB15" s="110" t="s">
        <v>113</v>
      </c>
      <c r="BD15" s="76"/>
      <c r="BE15" s="108" t="s">
        <v>77</v>
      </c>
      <c r="BF15" s="109" t="s">
        <v>100</v>
      </c>
      <c r="BG15" s="109"/>
      <c r="BH15" s="109" t="s">
        <v>112</v>
      </c>
      <c r="BI15" s="109"/>
      <c r="BJ15" s="110" t="s">
        <v>113</v>
      </c>
      <c r="BK15" s="133"/>
    </row>
    <row r="16" spans="1:88" ht="29.4" thickBot="1">
      <c r="A16" s="76"/>
      <c r="B16" s="77"/>
      <c r="C16" s="80" t="s">
        <v>109</v>
      </c>
      <c r="D16" s="80" t="s">
        <v>114</v>
      </c>
      <c r="E16" s="80" t="s">
        <v>115</v>
      </c>
      <c r="F16" s="80" t="s">
        <v>116</v>
      </c>
      <c r="G16" s="80" t="s">
        <v>113</v>
      </c>
      <c r="I16" s="76"/>
      <c r="J16" s="77"/>
      <c r="K16" s="80" t="s">
        <v>109</v>
      </c>
      <c r="L16" s="80" t="s">
        <v>114</v>
      </c>
      <c r="M16" s="80" t="s">
        <v>115</v>
      </c>
      <c r="N16" s="80" t="s">
        <v>116</v>
      </c>
      <c r="O16" s="80" t="s">
        <v>113</v>
      </c>
      <c r="Q16" s="76"/>
      <c r="R16" s="81"/>
      <c r="S16" s="80" t="s">
        <v>109</v>
      </c>
      <c r="T16" s="80" t="s">
        <v>114</v>
      </c>
      <c r="U16" s="80" t="s">
        <v>115</v>
      </c>
      <c r="V16" s="80" t="s">
        <v>116</v>
      </c>
      <c r="W16" s="80" t="s">
        <v>113</v>
      </c>
      <c r="Y16" s="76"/>
      <c r="Z16" s="81"/>
      <c r="AA16" s="80" t="s">
        <v>109</v>
      </c>
      <c r="AB16" s="80" t="s">
        <v>114</v>
      </c>
      <c r="AC16" s="80" t="s">
        <v>115</v>
      </c>
      <c r="AD16" s="80" t="s">
        <v>116</v>
      </c>
      <c r="AF16" s="76"/>
      <c r="AG16" s="108"/>
      <c r="AH16" s="111" t="s">
        <v>109</v>
      </c>
      <c r="AI16" s="111" t="s">
        <v>114</v>
      </c>
      <c r="AJ16" s="111" t="s">
        <v>115</v>
      </c>
      <c r="AK16" s="111" t="s">
        <v>116</v>
      </c>
      <c r="AL16" s="111" t="s">
        <v>113</v>
      </c>
      <c r="AN16" s="76"/>
      <c r="AO16" s="108"/>
      <c r="AP16" s="111" t="s">
        <v>109</v>
      </c>
      <c r="AQ16" s="111" t="s">
        <v>114</v>
      </c>
      <c r="AR16" s="111" t="s">
        <v>115</v>
      </c>
      <c r="AS16" s="111" t="s">
        <v>116</v>
      </c>
      <c r="AT16" s="111" t="s">
        <v>113</v>
      </c>
      <c r="AV16" s="76"/>
      <c r="AW16" s="108"/>
      <c r="AX16" s="111" t="s">
        <v>109</v>
      </c>
      <c r="AY16" s="111" t="s">
        <v>114</v>
      </c>
      <c r="AZ16" s="111" t="s">
        <v>115</v>
      </c>
      <c r="BA16" s="111" t="s">
        <v>116</v>
      </c>
      <c r="BB16" s="111" t="s">
        <v>113</v>
      </c>
      <c r="BD16" s="76"/>
      <c r="BE16" s="108"/>
      <c r="BF16" s="111" t="s">
        <v>109</v>
      </c>
      <c r="BG16" s="111" t="s">
        <v>114</v>
      </c>
      <c r="BH16" s="111" t="s">
        <v>115</v>
      </c>
      <c r="BI16" s="111" t="s">
        <v>116</v>
      </c>
      <c r="BJ16" s="111" t="s">
        <v>113</v>
      </c>
      <c r="BK16" s="134"/>
    </row>
    <row r="17" spans="1:63" ht="15" thickBot="1">
      <c r="A17" s="76" t="s">
        <v>117</v>
      </c>
      <c r="B17" s="81">
        <v>1</v>
      </c>
      <c r="C17" s="82">
        <v>10.09</v>
      </c>
      <c r="D17" s="82">
        <v>10.72</v>
      </c>
      <c r="E17" s="82">
        <v>12.13</v>
      </c>
      <c r="F17" s="82">
        <v>13.55</v>
      </c>
      <c r="G17" s="82">
        <v>14.86</v>
      </c>
      <c r="I17" s="76" t="s">
        <v>117</v>
      </c>
      <c r="J17" s="81">
        <v>1</v>
      </c>
      <c r="K17" s="82">
        <v>11.82</v>
      </c>
      <c r="L17" s="82">
        <v>12.66</v>
      </c>
      <c r="M17" s="82">
        <v>14.7</v>
      </c>
      <c r="N17" s="82">
        <v>15.48</v>
      </c>
      <c r="O17" s="82">
        <v>16.79</v>
      </c>
      <c r="Q17" s="76" t="s">
        <v>117</v>
      </c>
      <c r="R17" s="81">
        <v>1</v>
      </c>
      <c r="S17" s="82">
        <v>11.82</v>
      </c>
      <c r="T17" s="82">
        <v>12.66</v>
      </c>
      <c r="U17" s="82">
        <v>14.07</v>
      </c>
      <c r="V17" s="82">
        <v>15.48</v>
      </c>
      <c r="W17" s="82">
        <v>16.79</v>
      </c>
      <c r="Y17" s="76" t="s">
        <v>117</v>
      </c>
      <c r="Z17" s="81">
        <v>1</v>
      </c>
      <c r="AA17" s="82">
        <v>10.09</v>
      </c>
      <c r="AB17" s="82">
        <v>10.72</v>
      </c>
      <c r="AC17" s="82">
        <v>12.13</v>
      </c>
      <c r="AD17" s="82">
        <v>13.55</v>
      </c>
      <c r="AF17" s="76" t="s">
        <v>117</v>
      </c>
      <c r="AG17" s="112">
        <v>1</v>
      </c>
      <c r="AH17" s="113">
        <v>11.82</v>
      </c>
      <c r="AI17" s="113">
        <v>12.66</v>
      </c>
      <c r="AJ17" s="113">
        <v>14.07</v>
      </c>
      <c r="AK17" s="113">
        <v>15.48</v>
      </c>
      <c r="AL17" s="113">
        <v>16.79</v>
      </c>
      <c r="AN17" s="76" t="s">
        <v>117</v>
      </c>
      <c r="AO17" s="112">
        <v>1</v>
      </c>
      <c r="AP17" s="113">
        <v>12.03</v>
      </c>
      <c r="AQ17" s="113">
        <v>12.97</v>
      </c>
      <c r="AR17" s="113">
        <v>14.38</v>
      </c>
      <c r="AS17" s="113">
        <v>15.8</v>
      </c>
      <c r="AT17" s="113">
        <v>17.11</v>
      </c>
      <c r="AV17" s="76" t="s">
        <v>117</v>
      </c>
      <c r="AW17" s="112">
        <v>1</v>
      </c>
      <c r="AX17" s="113">
        <v>16.53</v>
      </c>
      <c r="AY17" s="113">
        <v>18.420000000000002</v>
      </c>
      <c r="AZ17" s="113">
        <v>19.829999999999998</v>
      </c>
      <c r="BA17" s="113">
        <v>21.24</v>
      </c>
      <c r="BB17" s="113">
        <v>22.55</v>
      </c>
      <c r="BD17" s="76" t="s">
        <v>117</v>
      </c>
      <c r="BE17" s="112">
        <v>1</v>
      </c>
      <c r="BF17" s="113">
        <v>16.53</v>
      </c>
      <c r="BG17" s="113">
        <v>18.420000000000002</v>
      </c>
      <c r="BH17" s="113">
        <v>19.829999999999998</v>
      </c>
      <c r="BI17" s="113">
        <v>21.24</v>
      </c>
      <c r="BJ17" s="113">
        <v>22.55</v>
      </c>
      <c r="BK17" s="135"/>
    </row>
    <row r="18" spans="1:63" ht="15" thickBot="1">
      <c r="A18" s="76" t="s">
        <v>117</v>
      </c>
      <c r="B18" s="81">
        <v>2</v>
      </c>
      <c r="C18" s="82">
        <v>6.82</v>
      </c>
      <c r="D18" s="82">
        <v>7.45</v>
      </c>
      <c r="E18" s="82">
        <v>8.56</v>
      </c>
      <c r="F18" s="82">
        <v>10.275</v>
      </c>
      <c r="G18" s="82">
        <v>11.585000000000001</v>
      </c>
      <c r="I18" s="76" t="s">
        <v>117</v>
      </c>
      <c r="J18" s="81">
        <v>2</v>
      </c>
      <c r="K18" s="82">
        <v>8.5449999999999999</v>
      </c>
      <c r="L18" s="82">
        <v>9.3849999999999998</v>
      </c>
      <c r="M18" s="82">
        <v>10.8</v>
      </c>
      <c r="N18" s="82">
        <v>12.21</v>
      </c>
      <c r="O18" s="82">
        <v>13.52</v>
      </c>
      <c r="Q18" s="76" t="s">
        <v>117</v>
      </c>
      <c r="R18" s="81">
        <v>2</v>
      </c>
      <c r="S18" s="80">
        <v>8.5449999999999999</v>
      </c>
      <c r="T18" s="82">
        <v>9.3849999999999998</v>
      </c>
      <c r="U18" s="82">
        <v>10.8</v>
      </c>
      <c r="V18" s="82">
        <v>12.21</v>
      </c>
      <c r="W18" s="82">
        <v>13.52</v>
      </c>
      <c r="Y18" s="76" t="s">
        <v>117</v>
      </c>
      <c r="Z18" s="81">
        <v>2</v>
      </c>
      <c r="AA18" s="82">
        <v>6.82</v>
      </c>
      <c r="AB18" s="82">
        <v>7.45</v>
      </c>
      <c r="AC18" s="82">
        <v>8.56</v>
      </c>
      <c r="AD18" s="82">
        <v>10.275</v>
      </c>
      <c r="AF18" s="76" t="s">
        <v>117</v>
      </c>
      <c r="AG18" s="112">
        <v>2</v>
      </c>
      <c r="AH18" s="113">
        <v>8.5449999999999999</v>
      </c>
      <c r="AI18" s="113">
        <v>9.3849999999999998</v>
      </c>
      <c r="AJ18" s="113">
        <v>10.8</v>
      </c>
      <c r="AK18" s="113">
        <v>12.21</v>
      </c>
      <c r="AL18" s="113">
        <v>13.52</v>
      </c>
      <c r="AN18" s="76" t="s">
        <v>117</v>
      </c>
      <c r="AO18" s="112">
        <v>2</v>
      </c>
      <c r="AP18" s="113">
        <v>8.7550000000000008</v>
      </c>
      <c r="AQ18" s="113">
        <v>9.6999999999999993</v>
      </c>
      <c r="AR18" s="113">
        <v>11.115</v>
      </c>
      <c r="AS18" s="113">
        <v>12.525</v>
      </c>
      <c r="AT18" s="113">
        <v>13.835000000000001</v>
      </c>
      <c r="AV18" s="76" t="s">
        <v>117</v>
      </c>
      <c r="AW18" s="112">
        <v>2</v>
      </c>
      <c r="AX18" s="113">
        <v>13.26</v>
      </c>
      <c r="AY18" s="113">
        <v>15.145</v>
      </c>
      <c r="AZ18" s="113">
        <v>16.559999999999999</v>
      </c>
      <c r="BA18" s="113">
        <v>17.97</v>
      </c>
      <c r="BB18" s="113">
        <v>19.28</v>
      </c>
      <c r="BD18" s="76" t="s">
        <v>117</v>
      </c>
      <c r="BE18" s="112">
        <v>2</v>
      </c>
      <c r="BF18" s="113">
        <v>13.26</v>
      </c>
      <c r="BG18" s="113">
        <v>15.145</v>
      </c>
      <c r="BH18" s="113">
        <v>16.559999999999999</v>
      </c>
      <c r="BI18" s="113">
        <v>17.97</v>
      </c>
      <c r="BJ18" s="113">
        <v>19.28</v>
      </c>
      <c r="BK18" s="135"/>
    </row>
    <row r="19" spans="1:63" ht="15" thickBot="1">
      <c r="A19" s="76" t="s">
        <v>117</v>
      </c>
      <c r="B19" s="81">
        <v>4</v>
      </c>
      <c r="C19" s="82">
        <v>5.1825000000000001</v>
      </c>
      <c r="D19" s="82">
        <v>5.8125</v>
      </c>
      <c r="E19" s="82">
        <v>7.2249999999999996</v>
      </c>
      <c r="F19" s="82">
        <v>8.6374999999999993</v>
      </c>
      <c r="G19" s="82">
        <v>9.9474999999999998</v>
      </c>
      <c r="I19" s="76" t="s">
        <v>117</v>
      </c>
      <c r="J19" s="81">
        <v>4</v>
      </c>
      <c r="K19" s="82">
        <v>6.91</v>
      </c>
      <c r="L19" s="82">
        <v>7.7474999999999996</v>
      </c>
      <c r="M19" s="82">
        <v>9.1624999999999996</v>
      </c>
      <c r="N19" s="82">
        <v>10.574999999999999</v>
      </c>
      <c r="O19" s="82">
        <v>11.885</v>
      </c>
      <c r="Q19" s="76" t="s">
        <v>117</v>
      </c>
      <c r="R19" s="81">
        <v>4</v>
      </c>
      <c r="S19" s="80">
        <v>6.91</v>
      </c>
      <c r="T19" s="82">
        <v>7.7474999999999996</v>
      </c>
      <c r="U19" s="82">
        <v>9.1624999999999996</v>
      </c>
      <c r="V19" s="82">
        <v>10.574999999999999</v>
      </c>
      <c r="W19" s="82">
        <v>11.885</v>
      </c>
      <c r="Y19" s="76" t="s">
        <v>117</v>
      </c>
      <c r="Z19" s="81">
        <v>4</v>
      </c>
      <c r="AA19" s="82">
        <v>5.1825000000000001</v>
      </c>
      <c r="AB19" s="82">
        <v>5.8125</v>
      </c>
      <c r="AC19" s="82">
        <v>7.2249999999999996</v>
      </c>
      <c r="AD19" s="82">
        <v>8.6374999999999993</v>
      </c>
      <c r="AF19" s="76" t="s">
        <v>117</v>
      </c>
      <c r="AG19" s="112">
        <v>4</v>
      </c>
      <c r="AH19" s="113">
        <v>6.2575000000000003</v>
      </c>
      <c r="AI19" s="113">
        <v>7.0949999999999998</v>
      </c>
      <c r="AJ19" s="113">
        <v>8.5075000000000003</v>
      </c>
      <c r="AK19" s="113">
        <v>9.9224999999999994</v>
      </c>
      <c r="AL19" s="113">
        <v>11.23</v>
      </c>
      <c r="AN19" s="76" t="s">
        <v>117</v>
      </c>
      <c r="AO19" s="112">
        <v>4</v>
      </c>
      <c r="AP19" s="113">
        <v>7.12</v>
      </c>
      <c r="AQ19" s="113">
        <v>8.0625</v>
      </c>
      <c r="AR19" s="113">
        <v>9.4774999999999991</v>
      </c>
      <c r="AS19" s="113">
        <v>10.89</v>
      </c>
      <c r="AT19" s="113">
        <v>12.2</v>
      </c>
      <c r="AV19" s="76" t="s">
        <v>117</v>
      </c>
      <c r="AW19" s="112">
        <v>4</v>
      </c>
      <c r="AX19" s="113">
        <v>11.6225</v>
      </c>
      <c r="AY19" s="113">
        <v>13.5075</v>
      </c>
      <c r="AZ19" s="113">
        <v>14.922499999999999</v>
      </c>
      <c r="BA19" s="113">
        <v>16.335000000000001</v>
      </c>
      <c r="BB19" s="113">
        <v>17.645</v>
      </c>
      <c r="BD19" s="76" t="s">
        <v>117</v>
      </c>
      <c r="BE19" s="112">
        <v>4</v>
      </c>
      <c r="BF19" s="113">
        <v>11.6225</v>
      </c>
      <c r="BG19" s="113">
        <v>13.5075</v>
      </c>
      <c r="BH19" s="113">
        <v>14.922499999999999</v>
      </c>
      <c r="BI19" s="113">
        <v>16.335000000000001</v>
      </c>
      <c r="BJ19" s="113">
        <v>17.645</v>
      </c>
      <c r="BK19" s="135"/>
    </row>
    <row r="20" spans="1:63" ht="15" thickBot="1">
      <c r="A20" s="76" t="s">
        <v>117</v>
      </c>
      <c r="B20" s="81">
        <v>8</v>
      </c>
      <c r="C20" s="82">
        <v>4.3650000000000002</v>
      </c>
      <c r="D20" s="82">
        <v>4.9937500000000004</v>
      </c>
      <c r="E20" s="82">
        <v>6.4074999999999998</v>
      </c>
      <c r="F20" s="82">
        <v>7.82125</v>
      </c>
      <c r="G20" s="82">
        <v>9.1300000000000008</v>
      </c>
      <c r="I20" s="76" t="s">
        <v>117</v>
      </c>
      <c r="J20" s="81">
        <v>8</v>
      </c>
      <c r="K20" s="82">
        <v>6.0925000000000002</v>
      </c>
      <c r="L20" s="82">
        <v>6.93</v>
      </c>
      <c r="M20" s="82">
        <v>8.34375</v>
      </c>
      <c r="N20" s="82">
        <v>9.7575000000000003</v>
      </c>
      <c r="O20" s="82">
        <v>11.06625</v>
      </c>
      <c r="Q20" s="76" t="s">
        <v>117</v>
      </c>
      <c r="R20" s="81">
        <v>8</v>
      </c>
      <c r="S20" s="82">
        <v>6.0925000000000002</v>
      </c>
      <c r="T20" s="82">
        <v>6.93</v>
      </c>
      <c r="U20" s="82">
        <v>8.34375</v>
      </c>
      <c r="V20" s="82">
        <v>9.7575000000000003</v>
      </c>
      <c r="W20" s="82">
        <v>11.06625</v>
      </c>
      <c r="Y20" s="76" t="s">
        <v>117</v>
      </c>
      <c r="Z20" s="81">
        <v>8</v>
      </c>
      <c r="AA20" s="82">
        <v>4.3650000000000002</v>
      </c>
      <c r="AB20" s="82">
        <v>4.9937500000000004</v>
      </c>
      <c r="AC20" s="82">
        <v>6.4074999999999998</v>
      </c>
      <c r="AD20" s="82">
        <v>7.82125</v>
      </c>
      <c r="AF20" s="76" t="s">
        <v>117</v>
      </c>
      <c r="AG20" s="112">
        <v>8</v>
      </c>
      <c r="AH20" s="113">
        <v>5.4387499999999998</v>
      </c>
      <c r="AI20" s="113">
        <v>6.2762500000000001</v>
      </c>
      <c r="AJ20" s="113">
        <v>7.69</v>
      </c>
      <c r="AK20" s="113">
        <v>9.1037499999999998</v>
      </c>
      <c r="AL20" s="113">
        <v>10.4125</v>
      </c>
      <c r="AN20" s="76" t="s">
        <v>117</v>
      </c>
      <c r="AO20" s="112">
        <v>8</v>
      </c>
      <c r="AP20" s="113">
        <v>6.3025000000000002</v>
      </c>
      <c r="AQ20" s="113">
        <v>7.2450000000000001</v>
      </c>
      <c r="AR20" s="113">
        <v>8.6587499999999995</v>
      </c>
      <c r="AS20" s="113">
        <v>10.0725</v>
      </c>
      <c r="AT20" s="113">
        <v>11.38125</v>
      </c>
      <c r="AV20" s="76" t="s">
        <v>117</v>
      </c>
      <c r="AW20" s="112">
        <v>8</v>
      </c>
      <c r="AX20" s="113">
        <v>10.52375</v>
      </c>
      <c r="AY20" s="113">
        <v>12.35</v>
      </c>
      <c r="AZ20" s="113">
        <v>13.762499999999999</v>
      </c>
      <c r="BA20" s="113">
        <v>15.17625</v>
      </c>
      <c r="BB20" s="113">
        <v>16.484999999999999</v>
      </c>
      <c r="BD20" s="76" t="s">
        <v>117</v>
      </c>
      <c r="BE20" s="112">
        <v>8</v>
      </c>
      <c r="BF20" s="113">
        <v>10.52375</v>
      </c>
      <c r="BG20" s="113">
        <v>12.35</v>
      </c>
      <c r="BH20" s="113">
        <v>13.762499999999999</v>
      </c>
      <c r="BI20" s="113">
        <v>15.17625</v>
      </c>
      <c r="BJ20" s="113">
        <v>16.484999999999999</v>
      </c>
      <c r="BK20" s="135"/>
    </row>
    <row r="21" spans="1:63" ht="15" thickBot="1">
      <c r="A21" s="76" t="s">
        <v>117</v>
      </c>
      <c r="B21" s="81">
        <v>10</v>
      </c>
      <c r="C21" s="82">
        <v>4.202</v>
      </c>
      <c r="D21" s="82">
        <v>4.83</v>
      </c>
      <c r="E21" s="82">
        <v>6.2430000000000003</v>
      </c>
      <c r="F21" s="82">
        <v>7.6569999999999991</v>
      </c>
      <c r="G21" s="82">
        <v>8.9659999999999993</v>
      </c>
      <c r="I21" s="76" t="s">
        <v>117</v>
      </c>
      <c r="J21" s="81">
        <v>10</v>
      </c>
      <c r="K21" s="82">
        <v>5.8479999999999999</v>
      </c>
      <c r="L21" s="82">
        <v>6.6849999999999996</v>
      </c>
      <c r="M21" s="82">
        <v>8.0990000000000002</v>
      </c>
      <c r="N21" s="82">
        <v>9.5120000000000005</v>
      </c>
      <c r="O21" s="82">
        <v>10.821</v>
      </c>
      <c r="Q21" s="76" t="s">
        <v>117</v>
      </c>
      <c r="R21" s="81">
        <v>10</v>
      </c>
      <c r="S21" s="82">
        <v>5.8479999999999999</v>
      </c>
      <c r="T21" s="82">
        <v>6.6879999999999997</v>
      </c>
      <c r="U21" s="82">
        <v>8.0990000000000002</v>
      </c>
      <c r="V21" s="82">
        <v>9.5120000000000005</v>
      </c>
      <c r="W21" s="82">
        <v>10.82</v>
      </c>
      <c r="Y21" s="76" t="s">
        <v>117</v>
      </c>
      <c r="Z21" s="81">
        <v>10</v>
      </c>
      <c r="AA21" s="82">
        <v>4.202</v>
      </c>
      <c r="AB21" s="82">
        <v>4.83</v>
      </c>
      <c r="AC21" s="82">
        <v>6.2430000000000003</v>
      </c>
      <c r="AD21" s="82">
        <v>7.6569999999999991</v>
      </c>
      <c r="AF21" s="76" t="s">
        <v>117</v>
      </c>
      <c r="AG21" s="112">
        <v>10</v>
      </c>
      <c r="AH21" s="113">
        <v>5.1440000000000001</v>
      </c>
      <c r="AI21" s="113">
        <v>5.9820000000000002</v>
      </c>
      <c r="AJ21" s="113">
        <v>7.3950000000000005</v>
      </c>
      <c r="AK21" s="113">
        <v>8.8090000000000011</v>
      </c>
      <c r="AL21" s="113">
        <v>10.118</v>
      </c>
      <c r="AN21" s="76" t="s">
        <v>117</v>
      </c>
      <c r="AO21" s="112">
        <v>10</v>
      </c>
      <c r="AP21" s="113">
        <v>6.0570000000000004</v>
      </c>
      <c r="AQ21" s="113">
        <v>6.9989999999999997</v>
      </c>
      <c r="AR21" s="113">
        <v>8.4130000000000003</v>
      </c>
      <c r="AS21" s="113">
        <v>9.827</v>
      </c>
      <c r="AT21" s="113">
        <v>11.135999999999999</v>
      </c>
      <c r="AV21" s="76" t="s">
        <v>117</v>
      </c>
      <c r="AW21" s="112">
        <v>10</v>
      </c>
      <c r="AX21" s="113">
        <v>10.196</v>
      </c>
      <c r="AY21" s="113">
        <v>12.022</v>
      </c>
      <c r="AZ21" s="113">
        <v>13.436000000000002</v>
      </c>
      <c r="BA21" s="113">
        <v>14.85</v>
      </c>
      <c r="BB21" s="113">
        <v>16.158000000000001</v>
      </c>
      <c r="BD21" s="76" t="s">
        <v>117</v>
      </c>
      <c r="BE21" s="112">
        <v>10</v>
      </c>
      <c r="BF21" s="113">
        <v>10.196</v>
      </c>
      <c r="BG21" s="113">
        <v>12.022</v>
      </c>
      <c r="BH21" s="113">
        <v>13.436000000000002</v>
      </c>
      <c r="BI21" s="113">
        <v>14.85</v>
      </c>
      <c r="BJ21" s="113">
        <v>16.158000000000001</v>
      </c>
      <c r="BK21" s="135"/>
    </row>
    <row r="22" spans="1:63" ht="15" thickBot="1">
      <c r="A22" s="76" t="s">
        <v>117</v>
      </c>
      <c r="B22" s="81">
        <v>16</v>
      </c>
      <c r="C22" s="82">
        <v>3.9562499999999998</v>
      </c>
      <c r="D22" s="82">
        <v>4.5843749999999996</v>
      </c>
      <c r="E22" s="82">
        <v>5.9981249999999999</v>
      </c>
      <c r="F22" s="82">
        <v>7.4118750000000002</v>
      </c>
      <c r="G22" s="82">
        <v>8.7206250000000001</v>
      </c>
      <c r="I22" s="76" t="s">
        <v>117</v>
      </c>
      <c r="J22" s="81">
        <v>16</v>
      </c>
      <c r="K22" s="82">
        <v>5.55</v>
      </c>
      <c r="L22" s="82">
        <v>6.3612500000000001</v>
      </c>
      <c r="M22" s="82">
        <v>7.7750000000000004</v>
      </c>
      <c r="N22" s="82">
        <v>9.1887500000000006</v>
      </c>
      <c r="O22" s="82">
        <v>10.1225</v>
      </c>
      <c r="Q22" s="76" t="s">
        <v>117</v>
      </c>
      <c r="R22" s="81">
        <v>16</v>
      </c>
      <c r="S22" s="82">
        <v>5.55</v>
      </c>
      <c r="T22" s="82">
        <v>6.3612500000000001</v>
      </c>
      <c r="U22" s="82">
        <v>7.7750000000000004</v>
      </c>
      <c r="V22" s="82">
        <v>9.1887500000000006</v>
      </c>
      <c r="W22" s="82">
        <v>10.4975</v>
      </c>
      <c r="Y22" s="76" t="s">
        <v>117</v>
      </c>
      <c r="Z22" s="81">
        <v>16</v>
      </c>
      <c r="AA22" s="82">
        <v>3.9562499999999998</v>
      </c>
      <c r="AB22" s="82">
        <v>4.5843749999999996</v>
      </c>
      <c r="AC22" s="82">
        <v>5.9981249999999999</v>
      </c>
      <c r="AD22" s="82">
        <v>7.4118750000000002</v>
      </c>
      <c r="AF22" s="76" t="s">
        <v>117</v>
      </c>
      <c r="AG22" s="112">
        <v>16</v>
      </c>
      <c r="AH22" s="113">
        <v>4.7575000000000003</v>
      </c>
      <c r="AI22" s="113">
        <v>5.5687499999999996</v>
      </c>
      <c r="AJ22" s="113">
        <v>6.9824999999999999</v>
      </c>
      <c r="AK22" s="113">
        <v>8.3962500000000002</v>
      </c>
      <c r="AL22" s="113">
        <v>9.7050000000000001</v>
      </c>
      <c r="AN22" s="76" t="s">
        <v>117</v>
      </c>
      <c r="AO22" s="112">
        <v>16</v>
      </c>
      <c r="AP22" s="113">
        <v>5.7525000000000004</v>
      </c>
      <c r="AQ22" s="113">
        <v>6.6656250000000004</v>
      </c>
      <c r="AR22" s="113">
        <v>8.0793750000000006</v>
      </c>
      <c r="AS22" s="113">
        <v>9.4924999999999997</v>
      </c>
      <c r="AT22" s="113">
        <v>10.801875000000001</v>
      </c>
      <c r="AV22" s="76" t="s">
        <v>117</v>
      </c>
      <c r="AW22" s="112">
        <v>16</v>
      </c>
      <c r="AX22" s="113">
        <v>9.8331250000000008</v>
      </c>
      <c r="AY22" s="113">
        <v>11.6</v>
      </c>
      <c r="AZ22" s="113">
        <v>13.01375</v>
      </c>
      <c r="BA22" s="113">
        <v>14.4275</v>
      </c>
      <c r="BB22" s="113">
        <v>15.73625</v>
      </c>
      <c r="BD22" s="76" t="s">
        <v>117</v>
      </c>
      <c r="BE22" s="112">
        <v>16</v>
      </c>
      <c r="BF22" s="113">
        <v>9.8331250000000008</v>
      </c>
      <c r="BG22" s="113">
        <v>11.6</v>
      </c>
      <c r="BH22" s="113">
        <v>12.63875</v>
      </c>
      <c r="BI22" s="113">
        <v>14.4275</v>
      </c>
      <c r="BJ22" s="113">
        <v>15.73625</v>
      </c>
      <c r="BK22" s="135"/>
    </row>
    <row r="23" spans="1:63" ht="15" thickBot="1">
      <c r="A23" s="76" t="s">
        <v>117</v>
      </c>
      <c r="B23" s="81">
        <v>20</v>
      </c>
      <c r="C23" s="82">
        <v>3.7939999999999996</v>
      </c>
      <c r="D23" s="82">
        <v>4.4030000000000005</v>
      </c>
      <c r="E23" s="82">
        <v>5.8164999999999996</v>
      </c>
      <c r="F23" s="82">
        <v>7.2299999999999995</v>
      </c>
      <c r="G23" s="82">
        <v>8.5389999999999997</v>
      </c>
      <c r="I23" s="76" t="s">
        <v>117</v>
      </c>
      <c r="J23" s="81">
        <v>20</v>
      </c>
      <c r="K23" s="82">
        <v>5.3860000000000001</v>
      </c>
      <c r="L23" s="82">
        <v>6.1974999999999998</v>
      </c>
      <c r="M23" s="82">
        <v>7.6109999999999998</v>
      </c>
      <c r="N23" s="82">
        <v>9.0250000000000004</v>
      </c>
      <c r="O23" s="82">
        <v>10.334</v>
      </c>
      <c r="Q23" s="76" t="s">
        <v>117</v>
      </c>
      <c r="R23" s="81">
        <v>20</v>
      </c>
      <c r="S23" s="82">
        <v>5.3860000000000001</v>
      </c>
      <c r="T23" s="82">
        <v>6.1974999999999998</v>
      </c>
      <c r="U23" s="82">
        <v>7.6109999999999998</v>
      </c>
      <c r="V23" s="82">
        <v>9.0250000000000004</v>
      </c>
      <c r="W23" s="82">
        <v>10.334</v>
      </c>
      <c r="Y23" s="76" t="s">
        <v>117</v>
      </c>
      <c r="Z23" s="81">
        <v>20</v>
      </c>
      <c r="AA23" s="82">
        <v>3.7939999999999996</v>
      </c>
      <c r="AB23" s="82">
        <v>4.4030000000000005</v>
      </c>
      <c r="AC23" s="82">
        <v>5.8164999999999996</v>
      </c>
      <c r="AD23" s="82">
        <v>7.2299999999999995</v>
      </c>
      <c r="AF23" s="76" t="s">
        <v>117</v>
      </c>
      <c r="AG23" s="112">
        <v>20</v>
      </c>
      <c r="AH23" s="113">
        <v>4.7069999999999999</v>
      </c>
      <c r="AI23" s="113">
        <v>5.5185000000000004</v>
      </c>
      <c r="AJ23" s="113">
        <v>6.9325000000000001</v>
      </c>
      <c r="AK23" s="113">
        <v>8.3460000000000001</v>
      </c>
      <c r="AL23" s="113">
        <v>9.6549999999999994</v>
      </c>
      <c r="AN23" s="76" t="s">
        <v>117</v>
      </c>
      <c r="AO23" s="112">
        <v>20</v>
      </c>
      <c r="AP23" s="113">
        <v>5.5890000000000004</v>
      </c>
      <c r="AQ23" s="113">
        <v>6.5019999999999998</v>
      </c>
      <c r="AR23" s="113">
        <v>7.9154999999999998</v>
      </c>
      <c r="AS23" s="113">
        <v>9.3290000000000006</v>
      </c>
      <c r="AT23" s="113">
        <v>10.638</v>
      </c>
      <c r="AV23" s="76" t="s">
        <v>117</v>
      </c>
      <c r="AW23" s="112">
        <v>20</v>
      </c>
      <c r="AX23" s="113">
        <v>9.7515000000000001</v>
      </c>
      <c r="AY23" s="113">
        <v>11.5185</v>
      </c>
      <c r="AZ23" s="113">
        <v>12.931999999999999</v>
      </c>
      <c r="BA23" s="113">
        <v>14.347</v>
      </c>
      <c r="BB23" s="113">
        <v>15.654499999999999</v>
      </c>
      <c r="BD23" s="76" t="s">
        <v>117</v>
      </c>
      <c r="BE23" s="112">
        <v>20</v>
      </c>
      <c r="BF23" s="113">
        <v>9.7515000000000001</v>
      </c>
      <c r="BG23" s="113">
        <v>11.5185</v>
      </c>
      <c r="BH23" s="113">
        <v>12.931999999999999</v>
      </c>
      <c r="BI23" s="113">
        <v>14.345500000000001</v>
      </c>
      <c r="BJ23" s="113">
        <v>15.654499999999999</v>
      </c>
      <c r="BK23" s="135"/>
    </row>
    <row r="24" spans="1:63" ht="15" thickBot="1">
      <c r="A24" s="76" t="s">
        <v>117</v>
      </c>
      <c r="B24" s="81">
        <v>30</v>
      </c>
      <c r="C24" s="82">
        <v>3.6850000000000001</v>
      </c>
      <c r="D24" s="82">
        <v>4.2936666666666667</v>
      </c>
      <c r="E24" s="82">
        <v>5.7073333333333336</v>
      </c>
      <c r="F24" s="82">
        <v>7.1209999999999996</v>
      </c>
      <c r="G24" s="82">
        <v>8.43</v>
      </c>
      <c r="I24" s="76" t="s">
        <v>117</v>
      </c>
      <c r="J24" s="81">
        <v>30</v>
      </c>
      <c r="K24" s="82">
        <v>8.4260000000000002</v>
      </c>
      <c r="L24" s="82">
        <v>9.75</v>
      </c>
      <c r="M24" s="82">
        <v>12.091000000000001</v>
      </c>
      <c r="N24" s="82">
        <v>14.447000000000001</v>
      </c>
      <c r="O24" s="82">
        <v>16.628666666666668</v>
      </c>
      <c r="Q24" s="76" t="s">
        <v>117</v>
      </c>
      <c r="R24" s="81">
        <v>30</v>
      </c>
      <c r="S24" s="82">
        <v>5.2246666666666668</v>
      </c>
      <c r="T24" s="82">
        <v>6.0100000000000007</v>
      </c>
      <c r="U24" s="82">
        <v>7.4236666666666666</v>
      </c>
      <c r="V24" s="82">
        <v>8.8373333333333335</v>
      </c>
      <c r="W24" s="82">
        <v>10.146333333333333</v>
      </c>
      <c r="Y24" s="76" t="s">
        <v>117</v>
      </c>
      <c r="Z24" s="81">
        <v>30</v>
      </c>
      <c r="AA24" s="82">
        <v>3.6850000000000001</v>
      </c>
      <c r="AB24" s="82">
        <v>4.2936666666666667</v>
      </c>
      <c r="AC24" s="82">
        <v>5.7073333333333336</v>
      </c>
      <c r="AD24" s="82">
        <v>7.1209999999999996</v>
      </c>
      <c r="AF24" s="76" t="s">
        <v>117</v>
      </c>
      <c r="AG24" s="112">
        <v>30</v>
      </c>
      <c r="AH24" s="113">
        <v>4.4066666666666663</v>
      </c>
      <c r="AI24" s="113">
        <v>5.1919999999999993</v>
      </c>
      <c r="AJ24" s="113">
        <v>6.6056666666666661</v>
      </c>
      <c r="AK24" s="113">
        <v>8.0193333333333339</v>
      </c>
      <c r="AL24" s="113">
        <v>9.3279999999999994</v>
      </c>
      <c r="AN24" s="76" t="s">
        <v>117</v>
      </c>
      <c r="AO24" s="112">
        <v>30</v>
      </c>
      <c r="AP24" s="113">
        <v>5.4210000000000003</v>
      </c>
      <c r="AQ24" s="113">
        <v>6.3043333333333331</v>
      </c>
      <c r="AR24" s="113">
        <v>7.718</v>
      </c>
      <c r="AS24" s="113">
        <v>9.1316666666666659</v>
      </c>
      <c r="AT24" s="113">
        <v>10.437333333333333</v>
      </c>
      <c r="AV24" s="76" t="s">
        <v>117</v>
      </c>
      <c r="AW24" s="112">
        <v>30</v>
      </c>
      <c r="AX24" s="113">
        <v>9.4786666666666672</v>
      </c>
      <c r="AY24" s="113">
        <v>11.245666666666667</v>
      </c>
      <c r="AZ24" s="113">
        <v>12.659333333333333</v>
      </c>
      <c r="BA24" s="113">
        <v>14.072666666666667</v>
      </c>
      <c r="BB24" s="113">
        <v>15.381666666666666</v>
      </c>
      <c r="BD24" s="76" t="s">
        <v>117</v>
      </c>
      <c r="BE24" s="112">
        <v>30</v>
      </c>
      <c r="BF24" s="113">
        <v>9.4786666666666672</v>
      </c>
      <c r="BG24" s="113">
        <v>11.245666666666667</v>
      </c>
      <c r="BH24" s="113">
        <v>12.659333333333333</v>
      </c>
      <c r="BI24" s="113">
        <v>14.072666666666667</v>
      </c>
      <c r="BJ24" s="113">
        <v>15.383333333333333</v>
      </c>
      <c r="BK24" s="135"/>
    </row>
    <row r="25" spans="1:63" ht="15" thickBot="1">
      <c r="A25" s="76" t="s">
        <v>117</v>
      </c>
      <c r="B25" s="81">
        <v>50</v>
      </c>
      <c r="C25" s="82">
        <v>3.5175999999999998</v>
      </c>
      <c r="D25" s="82">
        <v>4.1067999999999998</v>
      </c>
      <c r="E25" s="82">
        <v>5.5202</v>
      </c>
      <c r="F25" s="82">
        <v>6.9337999999999997</v>
      </c>
      <c r="G25" s="82">
        <v>8.242799999999999</v>
      </c>
      <c r="I25" s="76" t="s">
        <v>117</v>
      </c>
      <c r="J25" s="81">
        <v>50</v>
      </c>
      <c r="K25" s="82">
        <v>9.3193999999999999</v>
      </c>
      <c r="L25" s="82">
        <v>10.835999999999999</v>
      </c>
      <c r="M25" s="82">
        <v>13.664999999999999</v>
      </c>
      <c r="N25" s="82">
        <v>16.4922</v>
      </c>
      <c r="O25" s="82">
        <v>19.11</v>
      </c>
      <c r="Q25" s="76" t="s">
        <v>117</v>
      </c>
      <c r="R25" s="81">
        <v>50</v>
      </c>
      <c r="S25" s="82">
        <v>5.0556000000000001</v>
      </c>
      <c r="T25" s="82">
        <v>5.8410000000000002</v>
      </c>
      <c r="U25" s="82">
        <v>7.2545999999999999</v>
      </c>
      <c r="V25" s="82">
        <v>8.6682000000000006</v>
      </c>
      <c r="W25" s="82">
        <v>9.9771999999999998</v>
      </c>
      <c r="Y25" s="76" t="s">
        <v>117</v>
      </c>
      <c r="Z25" s="81">
        <v>50</v>
      </c>
      <c r="AA25" s="82">
        <v>3.5175999999999998</v>
      </c>
      <c r="AB25" s="82">
        <v>4.1067999999999998</v>
      </c>
      <c r="AC25" s="82">
        <v>5.5202</v>
      </c>
      <c r="AD25" s="82">
        <v>6.9337999999999997</v>
      </c>
      <c r="AF25" s="76" t="s">
        <v>117</v>
      </c>
      <c r="AG25" s="112">
        <v>50</v>
      </c>
      <c r="AH25" s="113">
        <v>4.3521999999999998</v>
      </c>
      <c r="AI25" s="113">
        <v>5.1374000000000004</v>
      </c>
      <c r="AJ25" s="113">
        <v>6.5510000000000002</v>
      </c>
      <c r="AK25" s="113">
        <v>7.9647199999999998</v>
      </c>
      <c r="AL25" s="113">
        <v>9.2736000000000001</v>
      </c>
      <c r="AN25" s="76" t="s">
        <v>117</v>
      </c>
      <c r="AO25" s="112">
        <v>50</v>
      </c>
      <c r="AP25" s="113">
        <v>0.24059999999999998</v>
      </c>
      <c r="AQ25" s="113">
        <v>0.25940000000000002</v>
      </c>
      <c r="AR25" s="113">
        <v>0.28760000000000002</v>
      </c>
      <c r="AS25" s="113">
        <v>0.316</v>
      </c>
      <c r="AT25" s="113">
        <v>0.3422</v>
      </c>
      <c r="AV25" s="76" t="s">
        <v>117</v>
      </c>
      <c r="AW25" s="112">
        <v>50</v>
      </c>
      <c r="AX25" s="113">
        <v>9.11</v>
      </c>
      <c r="AY25" s="113">
        <v>10.818</v>
      </c>
      <c r="AZ25" s="113">
        <v>12.2318</v>
      </c>
      <c r="BA25" s="113">
        <v>13.645199999999999</v>
      </c>
      <c r="BB25" s="113">
        <v>9.4941999999999993</v>
      </c>
      <c r="BD25" s="76" t="s">
        <v>117</v>
      </c>
      <c r="BE25" s="112">
        <v>50</v>
      </c>
      <c r="BF25" s="113">
        <v>9.11</v>
      </c>
      <c r="BG25" s="113">
        <v>10.818</v>
      </c>
      <c r="BH25" s="113">
        <v>12.2318</v>
      </c>
      <c r="BI25" s="113">
        <v>13.651199999999999</v>
      </c>
      <c r="BJ25" s="113">
        <v>14.9542</v>
      </c>
      <c r="BK25" s="135"/>
    </row>
    <row r="26" spans="1:63" ht="14.4" thickBot="1">
      <c r="A26" s="76"/>
      <c r="B26" s="76"/>
      <c r="C26" s="83"/>
      <c r="D26" s="83"/>
      <c r="E26" s="83"/>
      <c r="F26" s="83"/>
      <c r="G26" s="83"/>
      <c r="I26" s="76"/>
      <c r="J26" s="76"/>
      <c r="K26" s="83"/>
      <c r="L26" s="83"/>
      <c r="M26" s="83"/>
      <c r="N26" s="83"/>
      <c r="O26" s="83"/>
      <c r="Q26" s="76"/>
      <c r="R26" s="76"/>
      <c r="S26" s="83"/>
      <c r="T26" s="83"/>
      <c r="U26" s="83"/>
      <c r="V26" s="83"/>
      <c r="W26" s="83"/>
      <c r="Y26" s="76"/>
      <c r="Z26" s="76"/>
      <c r="AA26" s="83"/>
      <c r="AB26" s="83"/>
      <c r="AC26" s="83"/>
      <c r="AD26" s="83"/>
      <c r="AF26" s="76"/>
      <c r="AG26" s="76"/>
      <c r="AH26" s="83"/>
      <c r="AI26" s="83"/>
      <c r="AJ26" s="83"/>
      <c r="AK26" s="83"/>
      <c r="AL26" s="83"/>
      <c r="AN26" s="76"/>
      <c r="AO26" s="76"/>
      <c r="AP26" s="83"/>
      <c r="AQ26" s="83"/>
      <c r="AR26" s="83"/>
      <c r="AS26" s="83"/>
      <c r="AT26" s="83"/>
      <c r="AV26" s="76"/>
      <c r="AW26" s="76"/>
      <c r="AX26" s="83"/>
      <c r="AY26" s="83"/>
      <c r="AZ26" s="83"/>
      <c r="BA26" s="83"/>
      <c r="BB26" s="83"/>
      <c r="BD26" s="76"/>
      <c r="BE26" s="76"/>
      <c r="BF26" s="83"/>
      <c r="BG26" s="83"/>
      <c r="BH26" s="83"/>
      <c r="BI26" s="83"/>
      <c r="BJ26" s="83"/>
      <c r="BK26" s="83"/>
    </row>
    <row r="27" spans="1:63" ht="29.4" thickBot="1">
      <c r="A27" s="76"/>
      <c r="B27" s="77" t="s">
        <v>77</v>
      </c>
      <c r="C27" s="78" t="s">
        <v>93</v>
      </c>
      <c r="D27" s="78"/>
      <c r="E27" s="78" t="s">
        <v>112</v>
      </c>
      <c r="F27" s="78"/>
      <c r="G27" s="79" t="s">
        <v>113</v>
      </c>
      <c r="I27" s="76"/>
      <c r="J27" s="77" t="s">
        <v>77</v>
      </c>
      <c r="K27" s="85" t="s">
        <v>94</v>
      </c>
      <c r="L27" s="86"/>
      <c r="M27" s="78" t="s">
        <v>112</v>
      </c>
      <c r="N27" s="78"/>
      <c r="O27" s="79" t="s">
        <v>113</v>
      </c>
      <c r="Q27" s="76"/>
      <c r="R27" s="81" t="s">
        <v>77</v>
      </c>
      <c r="S27" s="105" t="s">
        <v>95</v>
      </c>
      <c r="T27" s="105"/>
      <c r="U27" s="79" t="s">
        <v>112</v>
      </c>
      <c r="V27" s="79"/>
      <c r="W27" s="79" t="s">
        <v>113</v>
      </c>
      <c r="Y27" s="76"/>
      <c r="Z27" s="81" t="s">
        <v>77</v>
      </c>
      <c r="AA27" s="79" t="s">
        <v>122</v>
      </c>
      <c r="AB27" s="79"/>
      <c r="AC27" s="79" t="s">
        <v>112</v>
      </c>
      <c r="AD27" s="79"/>
      <c r="AF27" s="76"/>
      <c r="AG27" s="108" t="s">
        <v>77</v>
      </c>
      <c r="AH27" s="109" t="s">
        <v>97</v>
      </c>
      <c r="AI27" s="109"/>
      <c r="AJ27" s="109" t="s">
        <v>112</v>
      </c>
      <c r="AK27" s="109"/>
      <c r="AL27" s="110" t="s">
        <v>113</v>
      </c>
      <c r="AN27" s="76"/>
      <c r="AO27" s="108" t="s">
        <v>77</v>
      </c>
      <c r="AP27" s="109" t="s">
        <v>92</v>
      </c>
      <c r="AQ27" s="109"/>
      <c r="AR27" s="109" t="s">
        <v>112</v>
      </c>
      <c r="AS27" s="109"/>
      <c r="AT27" s="110"/>
      <c r="AV27" s="76"/>
      <c r="AW27" s="108" t="s">
        <v>77</v>
      </c>
      <c r="AX27" s="109" t="s">
        <v>99</v>
      </c>
      <c r="AY27" s="109"/>
      <c r="AZ27" s="109" t="s">
        <v>112</v>
      </c>
      <c r="BA27" s="109"/>
      <c r="BB27" s="110" t="s">
        <v>113</v>
      </c>
      <c r="BD27" s="76"/>
      <c r="BE27" s="108" t="s">
        <v>77</v>
      </c>
      <c r="BF27" s="109" t="s">
        <v>100</v>
      </c>
      <c r="BG27" s="109"/>
      <c r="BH27" s="109" t="s">
        <v>112</v>
      </c>
      <c r="BI27" s="109"/>
      <c r="BJ27" s="110" t="s">
        <v>113</v>
      </c>
      <c r="BK27" s="133"/>
    </row>
    <row r="28" spans="1:63" ht="29.4" thickBot="1">
      <c r="A28" s="76"/>
      <c r="B28" s="77"/>
      <c r="C28" s="80" t="s">
        <v>109</v>
      </c>
      <c r="D28" s="80" t="s">
        <v>114</v>
      </c>
      <c r="E28" s="80" t="s">
        <v>115</v>
      </c>
      <c r="F28" s="80" t="s">
        <v>116</v>
      </c>
      <c r="G28" s="80" t="s">
        <v>113</v>
      </c>
      <c r="I28" s="76"/>
      <c r="J28" s="77"/>
      <c r="K28" s="80" t="s">
        <v>109</v>
      </c>
      <c r="L28" s="80" t="s">
        <v>114</v>
      </c>
      <c r="M28" s="80" t="s">
        <v>115</v>
      </c>
      <c r="N28" s="80" t="s">
        <v>116</v>
      </c>
      <c r="O28" s="80" t="s">
        <v>113</v>
      </c>
      <c r="Q28" s="76"/>
      <c r="R28" s="81"/>
      <c r="S28" s="80" t="s">
        <v>109</v>
      </c>
      <c r="T28" s="80" t="s">
        <v>114</v>
      </c>
      <c r="U28" s="80" t="s">
        <v>115</v>
      </c>
      <c r="V28" s="80" t="s">
        <v>116</v>
      </c>
      <c r="W28" s="80" t="s">
        <v>113</v>
      </c>
      <c r="Y28" s="76"/>
      <c r="Z28" s="81"/>
      <c r="AA28" s="80" t="s">
        <v>109</v>
      </c>
      <c r="AB28" s="80" t="s">
        <v>114</v>
      </c>
      <c r="AC28" s="80" t="s">
        <v>115</v>
      </c>
      <c r="AD28" s="80" t="s">
        <v>116</v>
      </c>
      <c r="AF28" s="76"/>
      <c r="AG28" s="108"/>
      <c r="AH28" s="111" t="s">
        <v>109</v>
      </c>
      <c r="AI28" s="111" t="s">
        <v>114</v>
      </c>
      <c r="AJ28" s="111" t="s">
        <v>115</v>
      </c>
      <c r="AK28" s="111" t="s">
        <v>116</v>
      </c>
      <c r="AL28" s="111" t="s">
        <v>113</v>
      </c>
      <c r="AN28" s="76"/>
      <c r="AO28" s="108"/>
      <c r="AP28" s="111" t="s">
        <v>109</v>
      </c>
      <c r="AQ28" s="111" t="s">
        <v>114</v>
      </c>
      <c r="AR28" s="111" t="s">
        <v>115</v>
      </c>
      <c r="AS28" s="111" t="s">
        <v>116</v>
      </c>
      <c r="AT28" s="111"/>
      <c r="AV28" s="76"/>
      <c r="AW28" s="108"/>
      <c r="AX28" s="111" t="s">
        <v>109</v>
      </c>
      <c r="AY28" s="111" t="s">
        <v>114</v>
      </c>
      <c r="AZ28" s="111" t="s">
        <v>115</v>
      </c>
      <c r="BA28" s="111" t="s">
        <v>116</v>
      </c>
      <c r="BB28" s="111" t="s">
        <v>113</v>
      </c>
      <c r="BD28" s="76"/>
      <c r="BE28" s="108"/>
      <c r="BF28" s="111" t="s">
        <v>109</v>
      </c>
      <c r="BG28" s="111" t="s">
        <v>114</v>
      </c>
      <c r="BH28" s="111" t="s">
        <v>115</v>
      </c>
      <c r="BI28" s="111" t="s">
        <v>116</v>
      </c>
      <c r="BJ28" s="111" t="s">
        <v>113</v>
      </c>
      <c r="BK28" s="134"/>
    </row>
    <row r="29" spans="1:63" ht="15" thickBot="1">
      <c r="A29" s="76" t="s">
        <v>118</v>
      </c>
      <c r="B29" s="81">
        <v>1</v>
      </c>
      <c r="C29" s="82">
        <v>10.68</v>
      </c>
      <c r="D29" s="82">
        <v>11.31</v>
      </c>
      <c r="E29" s="82">
        <v>12.72</v>
      </c>
      <c r="F29" s="82">
        <v>14.14</v>
      </c>
      <c r="G29" s="82"/>
      <c r="I29" s="76" t="s">
        <v>118</v>
      </c>
      <c r="J29" s="81">
        <v>1</v>
      </c>
      <c r="K29" s="82">
        <v>13</v>
      </c>
      <c r="L29" s="82">
        <v>13.84</v>
      </c>
      <c r="M29" s="82">
        <v>15.25</v>
      </c>
      <c r="N29" s="82">
        <v>16.66</v>
      </c>
      <c r="O29" s="82" t="s">
        <v>121</v>
      </c>
      <c r="Q29" s="76" t="s">
        <v>118</v>
      </c>
      <c r="R29" s="81">
        <v>1</v>
      </c>
      <c r="S29" s="82">
        <v>13.21</v>
      </c>
      <c r="T29" s="82">
        <v>14.15</v>
      </c>
      <c r="U29" s="82">
        <v>15.56</v>
      </c>
      <c r="V29" s="82">
        <v>16.98</v>
      </c>
      <c r="W29" s="82"/>
      <c r="Y29" s="76" t="s">
        <v>118</v>
      </c>
      <c r="Z29" s="81">
        <v>1</v>
      </c>
      <c r="AA29" s="82">
        <v>10.68</v>
      </c>
      <c r="AB29" s="82">
        <v>11.31</v>
      </c>
      <c r="AC29" s="82">
        <v>12.72</v>
      </c>
      <c r="AD29" s="82">
        <v>14.14</v>
      </c>
      <c r="AF29" s="76" t="s">
        <v>118</v>
      </c>
      <c r="AG29" s="112">
        <v>1</v>
      </c>
      <c r="AH29" s="113">
        <v>13</v>
      </c>
      <c r="AI29" s="113">
        <v>13.84</v>
      </c>
      <c r="AJ29" s="113">
        <v>15.25</v>
      </c>
      <c r="AK29" s="113">
        <v>16.66</v>
      </c>
      <c r="AL29" s="113"/>
      <c r="AN29" s="76" t="s">
        <v>118</v>
      </c>
      <c r="AO29" s="112">
        <v>1</v>
      </c>
      <c r="AP29" s="113">
        <v>13.21</v>
      </c>
      <c r="AQ29" s="113">
        <v>14.15</v>
      </c>
      <c r="AR29" s="113">
        <v>15.56</v>
      </c>
      <c r="AS29" s="113">
        <v>16.98</v>
      </c>
      <c r="AT29" s="113"/>
      <c r="AV29" s="76" t="s">
        <v>118</v>
      </c>
      <c r="AW29" s="112">
        <v>1</v>
      </c>
      <c r="AX29" s="113">
        <v>18.89</v>
      </c>
      <c r="AY29" s="113">
        <v>20.77</v>
      </c>
      <c r="AZ29" s="113">
        <v>22.19</v>
      </c>
      <c r="BA29" s="113">
        <v>23.6</v>
      </c>
      <c r="BB29" s="113"/>
      <c r="BD29" s="76" t="s">
        <v>118</v>
      </c>
      <c r="BE29" s="112">
        <v>1</v>
      </c>
      <c r="BF29" s="113">
        <v>20.14</v>
      </c>
      <c r="BG29" s="113">
        <v>22.66</v>
      </c>
      <c r="BH29" s="113">
        <v>24.07</v>
      </c>
      <c r="BI29" s="113">
        <v>25.48</v>
      </c>
      <c r="BJ29" s="113"/>
      <c r="BK29" s="135"/>
    </row>
    <row r="30" spans="1:63" ht="15" thickBot="1">
      <c r="A30" s="76" t="s">
        <v>118</v>
      </c>
      <c r="B30" s="81">
        <v>2</v>
      </c>
      <c r="C30" s="82">
        <v>7.41</v>
      </c>
      <c r="D30" s="82">
        <v>10.865</v>
      </c>
      <c r="E30" s="82">
        <v>8.82</v>
      </c>
      <c r="F30" s="82">
        <v>10.234999999999999</v>
      </c>
      <c r="G30" s="82"/>
      <c r="I30" s="76" t="s">
        <v>118</v>
      </c>
      <c r="J30" s="81">
        <v>2</v>
      </c>
      <c r="K30" s="82">
        <v>9.7249999999999996</v>
      </c>
      <c r="L30" s="82">
        <v>10.565</v>
      </c>
      <c r="M30" s="82">
        <v>11.975</v>
      </c>
      <c r="N30" s="82">
        <v>13.39</v>
      </c>
      <c r="O30" s="82"/>
      <c r="Q30" s="76" t="s">
        <v>118</v>
      </c>
      <c r="R30" s="81">
        <v>2</v>
      </c>
      <c r="S30" s="82">
        <v>9.9350000000000005</v>
      </c>
      <c r="T30" s="82">
        <v>10.875</v>
      </c>
      <c r="U30" s="82">
        <v>12.25</v>
      </c>
      <c r="V30" s="82">
        <v>13.705</v>
      </c>
      <c r="W30" s="82"/>
      <c r="Y30" s="76" t="s">
        <v>118</v>
      </c>
      <c r="Z30" s="81">
        <v>2</v>
      </c>
      <c r="AA30" s="82">
        <v>7.41</v>
      </c>
      <c r="AB30" s="82">
        <v>10.865</v>
      </c>
      <c r="AC30" s="82">
        <v>8.82</v>
      </c>
      <c r="AD30" s="82">
        <v>10.234999999999999</v>
      </c>
      <c r="AF30" s="76" t="s">
        <v>118</v>
      </c>
      <c r="AG30" s="112">
        <v>2</v>
      </c>
      <c r="AH30" s="113">
        <v>9.7249999999999996</v>
      </c>
      <c r="AI30" s="113">
        <v>10.565</v>
      </c>
      <c r="AJ30" s="113">
        <v>11.975</v>
      </c>
      <c r="AK30" s="113">
        <v>13.39</v>
      </c>
      <c r="AL30" s="113"/>
      <c r="AN30" s="76" t="s">
        <v>118</v>
      </c>
      <c r="AO30" s="112">
        <v>2</v>
      </c>
      <c r="AP30" s="113">
        <v>9.9350000000000005</v>
      </c>
      <c r="AQ30" s="113">
        <v>10.875</v>
      </c>
      <c r="AR30" s="113">
        <v>12.29</v>
      </c>
      <c r="AS30" s="113">
        <v>13.705</v>
      </c>
      <c r="AT30" s="113"/>
      <c r="AV30" s="76" t="s">
        <v>118</v>
      </c>
      <c r="AW30" s="112">
        <v>2</v>
      </c>
      <c r="AX30" s="113">
        <v>15.615</v>
      </c>
      <c r="AY30" s="113">
        <v>17.5</v>
      </c>
      <c r="AZ30" s="113">
        <v>18.690000000000001</v>
      </c>
      <c r="BA30" s="113">
        <v>20.324999999999999</v>
      </c>
      <c r="BB30" s="113"/>
      <c r="BD30" s="76" t="s">
        <v>118</v>
      </c>
      <c r="BE30" s="112">
        <v>2</v>
      </c>
      <c r="BF30" s="113">
        <v>16.87</v>
      </c>
      <c r="BG30" s="113">
        <v>19.385000000000002</v>
      </c>
      <c r="BH30" s="113">
        <v>20.8</v>
      </c>
      <c r="BI30" s="113">
        <v>22.21</v>
      </c>
      <c r="BJ30" s="113"/>
      <c r="BK30" s="135"/>
    </row>
    <row r="31" spans="1:63" ht="15" thickBot="1">
      <c r="A31" s="76" t="s">
        <v>118</v>
      </c>
      <c r="B31" s="81">
        <v>4</v>
      </c>
      <c r="C31" s="82">
        <v>5.7725</v>
      </c>
      <c r="D31" s="82">
        <v>6.4</v>
      </c>
      <c r="E31" s="82">
        <v>7.8150000000000004</v>
      </c>
      <c r="F31" s="82">
        <v>9.2274999999999991</v>
      </c>
      <c r="G31" s="82"/>
      <c r="I31" s="76" t="s">
        <v>118</v>
      </c>
      <c r="J31" s="81">
        <v>4</v>
      </c>
      <c r="K31" s="82">
        <v>8.09</v>
      </c>
      <c r="L31" s="82">
        <v>8.9275000000000002</v>
      </c>
      <c r="M31" s="82">
        <v>10.34</v>
      </c>
      <c r="N31" s="82">
        <v>11.755000000000001</v>
      </c>
      <c r="O31" s="82"/>
      <c r="Q31" s="76" t="s">
        <v>118</v>
      </c>
      <c r="R31" s="81">
        <v>4</v>
      </c>
      <c r="S31" s="82">
        <v>8.2974999999999994</v>
      </c>
      <c r="T31" s="82">
        <v>9.24</v>
      </c>
      <c r="U31" s="82">
        <v>10.654999999999999</v>
      </c>
      <c r="V31" s="82">
        <v>12.067500000000001</v>
      </c>
      <c r="W31" s="82"/>
      <c r="Y31" s="76" t="s">
        <v>118</v>
      </c>
      <c r="Z31" s="81">
        <v>4</v>
      </c>
      <c r="AA31" s="82">
        <v>5.7725</v>
      </c>
      <c r="AB31" s="82">
        <v>6.4</v>
      </c>
      <c r="AC31" s="82">
        <v>7.8150000000000004</v>
      </c>
      <c r="AD31" s="82">
        <v>9.2274999999999991</v>
      </c>
      <c r="AF31" s="76" t="s">
        <v>118</v>
      </c>
      <c r="AG31" s="112">
        <v>4</v>
      </c>
      <c r="AH31" s="113">
        <v>7.14</v>
      </c>
      <c r="AI31" s="113">
        <v>7.9775</v>
      </c>
      <c r="AJ31" s="113">
        <v>9.3925000000000001</v>
      </c>
      <c r="AK31" s="113">
        <v>10.805</v>
      </c>
      <c r="AL31" s="113"/>
      <c r="AN31" s="76" t="s">
        <v>118</v>
      </c>
      <c r="AO31" s="112">
        <v>4</v>
      </c>
      <c r="AP31" s="113">
        <v>8.2974999999999994</v>
      </c>
      <c r="AQ31" s="113">
        <v>9.24</v>
      </c>
      <c r="AR31" s="113">
        <v>10.654999999999999</v>
      </c>
      <c r="AS31" s="113">
        <v>12.067500000000001</v>
      </c>
      <c r="AT31" s="113"/>
      <c r="AV31" s="76" t="s">
        <v>118</v>
      </c>
      <c r="AW31" s="112">
        <v>4</v>
      </c>
      <c r="AX31" s="113">
        <v>13.98</v>
      </c>
      <c r="AY31" s="113">
        <v>15.865</v>
      </c>
      <c r="AZ31" s="113">
        <v>17.2775</v>
      </c>
      <c r="BA31" s="113">
        <v>18.690000000000001</v>
      </c>
      <c r="BB31" s="113"/>
      <c r="BD31" s="76" t="s">
        <v>118</v>
      </c>
      <c r="BE31" s="112">
        <v>4</v>
      </c>
      <c r="BF31" s="113">
        <v>15.234999999999999</v>
      </c>
      <c r="BG31" s="113">
        <v>17.747499999999999</v>
      </c>
      <c r="BH31" s="113">
        <v>19.162500000000001</v>
      </c>
      <c r="BI31" s="113">
        <v>20.574999999999999</v>
      </c>
      <c r="BJ31" s="113"/>
      <c r="BK31" s="135"/>
    </row>
    <row r="32" spans="1:63" ht="15" thickBot="1">
      <c r="A32" s="76" t="s">
        <v>118</v>
      </c>
      <c r="B32" s="81">
        <v>8</v>
      </c>
      <c r="C32" s="82">
        <v>4.9537500000000003</v>
      </c>
      <c r="D32" s="82">
        <v>5.5824999999999996</v>
      </c>
      <c r="E32" s="82">
        <v>6.9962499999999999</v>
      </c>
      <c r="F32" s="82">
        <v>8.41</v>
      </c>
      <c r="G32" s="82"/>
      <c r="I32" s="76" t="s">
        <v>118</v>
      </c>
      <c r="J32" s="81">
        <v>8</v>
      </c>
      <c r="K32" s="82">
        <v>7.1749999999999998</v>
      </c>
      <c r="L32" s="82">
        <v>8.1087500000000006</v>
      </c>
      <c r="M32" s="82">
        <v>9.5225000000000009</v>
      </c>
      <c r="N32" s="82">
        <v>10.936249999999999</v>
      </c>
      <c r="O32" s="82"/>
      <c r="Q32" s="76" t="s">
        <v>118</v>
      </c>
      <c r="R32" s="81">
        <v>8</v>
      </c>
      <c r="S32" s="82">
        <v>7.48</v>
      </c>
      <c r="T32" s="82">
        <v>8.4224999999999994</v>
      </c>
      <c r="U32" s="82">
        <v>9.8362499999999997</v>
      </c>
      <c r="V32" s="82">
        <v>11.25</v>
      </c>
      <c r="W32" s="82"/>
      <c r="Y32" s="76" t="s">
        <v>118</v>
      </c>
      <c r="Z32" s="81">
        <v>8</v>
      </c>
      <c r="AA32" s="82">
        <v>4.9537500000000003</v>
      </c>
      <c r="AB32" s="82">
        <v>5.5824999999999996</v>
      </c>
      <c r="AC32" s="82">
        <v>6.9962499999999999</v>
      </c>
      <c r="AD32" s="82">
        <v>8.41</v>
      </c>
      <c r="AF32" s="76" t="s">
        <v>118</v>
      </c>
      <c r="AG32" s="112">
        <v>8</v>
      </c>
      <c r="AH32" s="113">
        <v>6.3224999999999998</v>
      </c>
      <c r="AI32" s="113">
        <v>7.16</v>
      </c>
      <c r="AJ32" s="113">
        <v>8.5737500000000004</v>
      </c>
      <c r="AK32" s="113">
        <v>9.9875000000000007</v>
      </c>
      <c r="AL32" s="113"/>
      <c r="AN32" s="76" t="s">
        <v>118</v>
      </c>
      <c r="AO32" s="112">
        <v>8</v>
      </c>
      <c r="AP32" s="113">
        <v>7.48</v>
      </c>
      <c r="AQ32" s="113">
        <v>8.4224999999999994</v>
      </c>
      <c r="AR32" s="113">
        <v>9.8350000000000009</v>
      </c>
      <c r="AS32" s="113">
        <v>11.25</v>
      </c>
      <c r="AT32" s="113"/>
      <c r="AV32" s="76" t="s">
        <v>118</v>
      </c>
      <c r="AW32" s="112">
        <v>8</v>
      </c>
      <c r="AX32" s="113">
        <v>12.46125</v>
      </c>
      <c r="AY32" s="113">
        <v>14.6325</v>
      </c>
      <c r="AZ32" s="113">
        <v>16.045000000000002</v>
      </c>
      <c r="BA32" s="113">
        <v>17.458749999999998</v>
      </c>
      <c r="BB32" s="113"/>
      <c r="BD32" s="76" t="s">
        <v>118</v>
      </c>
      <c r="BE32" s="112">
        <v>8</v>
      </c>
      <c r="BF32" s="113">
        <v>14.02375</v>
      </c>
      <c r="BG32" s="113">
        <v>16.4575</v>
      </c>
      <c r="BH32" s="113">
        <v>17.87125</v>
      </c>
      <c r="BI32" s="113">
        <v>19.285</v>
      </c>
      <c r="BJ32" s="113"/>
      <c r="BK32" s="135"/>
    </row>
    <row r="33" spans="1:63" ht="15" thickBot="1">
      <c r="A33" s="76" t="s">
        <v>118</v>
      </c>
      <c r="B33" s="81">
        <v>10</v>
      </c>
      <c r="C33" s="82">
        <v>4.7909999999999995</v>
      </c>
      <c r="D33" s="82">
        <v>5.4189999999999996</v>
      </c>
      <c r="E33" s="82">
        <v>6.831999999999999</v>
      </c>
      <c r="F33" s="82">
        <v>8.2459999999999987</v>
      </c>
      <c r="G33" s="82"/>
      <c r="I33" s="76" t="s">
        <v>118</v>
      </c>
      <c r="J33" s="81">
        <v>10</v>
      </c>
      <c r="K33" s="82">
        <v>6.7819999999999991</v>
      </c>
      <c r="L33" s="82">
        <v>7.8260000000000005</v>
      </c>
      <c r="M33" s="82">
        <v>9.24</v>
      </c>
      <c r="N33" s="82">
        <v>10.65</v>
      </c>
      <c r="O33" s="82"/>
      <c r="Q33" s="76" t="s">
        <v>118</v>
      </c>
      <c r="R33" s="81">
        <v>10</v>
      </c>
      <c r="S33" s="82">
        <v>7.1980000000000004</v>
      </c>
      <c r="T33" s="82">
        <v>8.1440000000000001</v>
      </c>
      <c r="U33" s="82">
        <v>9.5540000000000003</v>
      </c>
      <c r="V33" s="82">
        <v>10.968</v>
      </c>
      <c r="W33" s="82"/>
      <c r="Y33" s="76" t="s">
        <v>118</v>
      </c>
      <c r="Z33" s="81">
        <v>10</v>
      </c>
      <c r="AA33" s="82">
        <v>4.7909999999999995</v>
      </c>
      <c r="AB33" s="82">
        <v>5.4189999999999996</v>
      </c>
      <c r="AC33" s="82">
        <v>6.831999999999999</v>
      </c>
      <c r="AD33" s="82">
        <v>8.2459999999999987</v>
      </c>
      <c r="AF33" s="76" t="s">
        <v>118</v>
      </c>
      <c r="AG33" s="112">
        <v>10</v>
      </c>
      <c r="AH33" s="113">
        <v>5.6689999999999996</v>
      </c>
      <c r="AI33" s="113">
        <v>6.806</v>
      </c>
      <c r="AJ33" s="113">
        <v>8.2200000000000006</v>
      </c>
      <c r="AK33" s="113">
        <v>9.6329999999999991</v>
      </c>
      <c r="AL33" s="113"/>
      <c r="AN33" s="76" t="s">
        <v>118</v>
      </c>
      <c r="AO33" s="112">
        <v>10</v>
      </c>
      <c r="AP33" s="113">
        <v>7.1980000000000004</v>
      </c>
      <c r="AQ33" s="113">
        <v>8.141</v>
      </c>
      <c r="AR33" s="113">
        <v>9.5540000000000003</v>
      </c>
      <c r="AS33" s="113">
        <v>10.968</v>
      </c>
      <c r="AT33" s="113"/>
      <c r="AV33" s="76" t="s">
        <v>118</v>
      </c>
      <c r="AW33" s="112">
        <v>10</v>
      </c>
      <c r="AX33" s="113">
        <v>12.068999999999999</v>
      </c>
      <c r="AY33" s="113">
        <v>14.231</v>
      </c>
      <c r="AZ33" s="113">
        <v>15.634499999999999</v>
      </c>
      <c r="BA33" s="113">
        <v>17.058</v>
      </c>
      <c r="BB33" s="113"/>
      <c r="BD33" s="76" t="s">
        <v>118</v>
      </c>
      <c r="BE33" s="112">
        <v>10</v>
      </c>
      <c r="BF33" s="113">
        <v>13.465</v>
      </c>
      <c r="BG33" s="113">
        <v>15.821000000000002</v>
      </c>
      <c r="BH33" s="113">
        <v>17.234999999999999</v>
      </c>
      <c r="BI33" s="113">
        <v>18.648</v>
      </c>
      <c r="BJ33" s="113"/>
      <c r="BK33" s="135"/>
    </row>
    <row r="34" spans="1:63" ht="15" thickBot="1">
      <c r="A34" s="76" t="s">
        <v>118</v>
      </c>
      <c r="B34" s="81">
        <v>16</v>
      </c>
      <c r="C34" s="82">
        <v>4.5449999999999999</v>
      </c>
      <c r="D34" s="82">
        <v>5.1731249999999998</v>
      </c>
      <c r="E34" s="82">
        <v>6.586875</v>
      </c>
      <c r="F34" s="82">
        <v>8.0006249999999994</v>
      </c>
      <c r="G34" s="82"/>
      <c r="I34" s="76" t="s">
        <v>118</v>
      </c>
      <c r="J34" s="81">
        <v>16</v>
      </c>
      <c r="K34" s="82">
        <v>6.71875</v>
      </c>
      <c r="L34" s="82">
        <v>7.5025000000000004</v>
      </c>
      <c r="M34" s="82">
        <v>8.9162499999999998</v>
      </c>
      <c r="N34" s="82">
        <v>10.33</v>
      </c>
      <c r="O34" s="82"/>
      <c r="Q34" s="76" t="s">
        <v>118</v>
      </c>
      <c r="R34" s="81">
        <v>16</v>
      </c>
      <c r="S34" s="82">
        <v>6.8937499999999998</v>
      </c>
      <c r="T34" s="82">
        <v>7.8068749999999998</v>
      </c>
      <c r="U34" s="82">
        <v>9.2206250000000001</v>
      </c>
      <c r="V34" s="82">
        <v>10.633749999999999</v>
      </c>
      <c r="W34" s="82"/>
      <c r="Y34" s="76" t="s">
        <v>118</v>
      </c>
      <c r="Z34" s="81">
        <v>16</v>
      </c>
      <c r="AA34" s="82">
        <v>4.5449999999999999</v>
      </c>
      <c r="AB34" s="82">
        <v>5.1731249999999998</v>
      </c>
      <c r="AC34" s="82">
        <v>6.586875</v>
      </c>
      <c r="AD34" s="82">
        <v>8.0006249999999994</v>
      </c>
      <c r="AF34" s="76" t="s">
        <v>118</v>
      </c>
      <c r="AG34" s="112">
        <v>16</v>
      </c>
      <c r="AH34" s="113">
        <v>5.5418750000000001</v>
      </c>
      <c r="AI34" s="113">
        <v>6.3531250000000004</v>
      </c>
      <c r="AJ34" s="113">
        <v>7.7668749999999998</v>
      </c>
      <c r="AK34" s="113">
        <v>9.1806249999999991</v>
      </c>
      <c r="AL34" s="113"/>
      <c r="AN34" s="76" t="s">
        <v>118</v>
      </c>
      <c r="AO34" s="112">
        <v>16</v>
      </c>
      <c r="AP34" s="113">
        <v>6.8937499999999998</v>
      </c>
      <c r="AQ34" s="113">
        <v>7.8068749999999998</v>
      </c>
      <c r="AR34" s="113">
        <v>9.2206250000000001</v>
      </c>
      <c r="AS34" s="113">
        <v>10.633749999999999</v>
      </c>
      <c r="AT34" s="113"/>
      <c r="AV34" s="76" t="s">
        <v>118</v>
      </c>
      <c r="AW34" s="112">
        <v>16</v>
      </c>
      <c r="AX34" s="113">
        <v>12.041874999999999</v>
      </c>
      <c r="AY34" s="113">
        <v>13.80875</v>
      </c>
      <c r="AZ34" s="113">
        <v>15.2225</v>
      </c>
      <c r="BA34" s="113">
        <v>16.63625</v>
      </c>
      <c r="BB34" s="113"/>
      <c r="BD34" s="76" t="s">
        <v>118</v>
      </c>
      <c r="BE34" s="112">
        <v>16</v>
      </c>
      <c r="BF34" s="113">
        <v>13.22</v>
      </c>
      <c r="BG34" s="113">
        <v>15.575625</v>
      </c>
      <c r="BH34" s="113">
        <v>17.176874999999999</v>
      </c>
      <c r="BI34" s="113">
        <v>18.403124999999999</v>
      </c>
      <c r="BJ34" s="113"/>
      <c r="BK34" s="135"/>
    </row>
    <row r="35" spans="1:63" ht="15" thickBot="1">
      <c r="A35" s="76" t="s">
        <v>118</v>
      </c>
      <c r="B35" s="81">
        <v>20</v>
      </c>
      <c r="C35" s="82">
        <v>4.3650000000000002</v>
      </c>
      <c r="D35" s="82">
        <v>4.9734999999999996</v>
      </c>
      <c r="E35" s="82">
        <v>6.3869999999999996</v>
      </c>
      <c r="F35" s="82">
        <v>7.8049999999999997</v>
      </c>
      <c r="G35" s="82"/>
      <c r="I35" s="76" t="s">
        <v>118</v>
      </c>
      <c r="J35" s="81">
        <v>20</v>
      </c>
      <c r="K35" s="82">
        <v>5.9965000000000002</v>
      </c>
      <c r="L35" s="82">
        <v>7.3019999999999996</v>
      </c>
      <c r="M35" s="82">
        <v>8.7155000000000005</v>
      </c>
      <c r="N35" s="82">
        <v>10.129000000000001</v>
      </c>
      <c r="O35" s="82"/>
      <c r="Q35" s="76" t="s">
        <v>118</v>
      </c>
      <c r="R35" s="81">
        <v>20</v>
      </c>
      <c r="S35" s="82">
        <v>6.5250000000000004</v>
      </c>
      <c r="T35" s="82">
        <v>7.6064999999999996</v>
      </c>
      <c r="U35" s="82">
        <v>9.02</v>
      </c>
      <c r="V35" s="82">
        <v>10.433499999999999</v>
      </c>
      <c r="W35" s="82"/>
      <c r="Y35" s="76" t="s">
        <v>118</v>
      </c>
      <c r="Z35" s="81">
        <v>20</v>
      </c>
      <c r="AA35" s="82">
        <v>4.3650000000000002</v>
      </c>
      <c r="AB35" s="82">
        <v>4.9734999999999996</v>
      </c>
      <c r="AC35" s="82">
        <v>6.3869999999999996</v>
      </c>
      <c r="AD35" s="82">
        <v>7.8049999999999997</v>
      </c>
      <c r="AF35" s="76" t="s">
        <v>118</v>
      </c>
      <c r="AG35" s="112">
        <v>20</v>
      </c>
      <c r="AH35" s="113">
        <v>5.5060000000000002</v>
      </c>
      <c r="AI35" s="113">
        <v>6.3174999999999999</v>
      </c>
      <c r="AJ35" s="113">
        <v>7.7309999999999999</v>
      </c>
      <c r="AK35" s="113">
        <v>9.144499999999999</v>
      </c>
      <c r="AL35" s="113"/>
      <c r="AN35" s="76" t="s">
        <v>118</v>
      </c>
      <c r="AO35" s="112">
        <v>20</v>
      </c>
      <c r="AP35" s="113">
        <v>6.5250000000000004</v>
      </c>
      <c r="AQ35" s="113">
        <v>7.6150000000000002</v>
      </c>
      <c r="AR35" s="113">
        <v>9.02</v>
      </c>
      <c r="AS35" s="113">
        <v>10.433499999999999</v>
      </c>
      <c r="AT35" s="113"/>
      <c r="AV35" s="76" t="s">
        <v>118</v>
      </c>
      <c r="AW35" s="112">
        <v>20</v>
      </c>
      <c r="AX35" s="113">
        <v>11.282999999999999</v>
      </c>
      <c r="AY35" s="113">
        <v>13.727</v>
      </c>
      <c r="AZ35" s="113">
        <v>15.140499999999999</v>
      </c>
      <c r="BA35" s="113">
        <v>16.554499999999997</v>
      </c>
      <c r="BB35" s="113"/>
      <c r="BD35" s="76" t="s">
        <v>118</v>
      </c>
      <c r="BE35" s="112">
        <v>20</v>
      </c>
      <c r="BF35" s="113">
        <v>13.138</v>
      </c>
      <c r="BG35" s="113">
        <v>15.494</v>
      </c>
      <c r="BH35" s="113">
        <v>16.907499999999999</v>
      </c>
      <c r="BI35" s="113">
        <v>18.3215</v>
      </c>
      <c r="BJ35" s="113"/>
      <c r="BK35" s="135"/>
    </row>
    <row r="36" spans="1:63" ht="15" thickBot="1">
      <c r="A36" s="76" t="s">
        <v>118</v>
      </c>
      <c r="B36" s="81">
        <v>30</v>
      </c>
      <c r="C36" s="82">
        <v>4.2556666666666665</v>
      </c>
      <c r="D36" s="82">
        <v>4.8643333333333336</v>
      </c>
      <c r="E36" s="82">
        <v>6.2780000000000005</v>
      </c>
      <c r="F36" s="82">
        <v>7.690666666666667</v>
      </c>
      <c r="G36" s="82"/>
      <c r="I36" s="76" t="s">
        <v>118</v>
      </c>
      <c r="J36" s="81">
        <v>30</v>
      </c>
      <c r="K36" s="82">
        <v>5.7346666666666666</v>
      </c>
      <c r="L36" s="82">
        <v>7.1143333333333336</v>
      </c>
      <c r="M36" s="82">
        <v>8.5280000000000005</v>
      </c>
      <c r="N36" s="82">
        <v>9.9416666666666664</v>
      </c>
      <c r="O36" s="82"/>
      <c r="Q36" s="76" t="s">
        <v>118</v>
      </c>
      <c r="R36" s="81">
        <v>30</v>
      </c>
      <c r="S36" s="82">
        <v>6.2633333333333336</v>
      </c>
      <c r="T36" s="82">
        <v>7.4090000000000007</v>
      </c>
      <c r="U36" s="82">
        <v>8.8226666666666667</v>
      </c>
      <c r="V36" s="82">
        <v>10.235999999999999</v>
      </c>
      <c r="W36" s="82"/>
      <c r="Y36" s="76" t="s">
        <v>118</v>
      </c>
      <c r="Z36" s="81">
        <v>30</v>
      </c>
      <c r="AA36" s="82">
        <v>4.2556666666666665</v>
      </c>
      <c r="AB36" s="82">
        <v>4.8643333333333336</v>
      </c>
      <c r="AC36" s="82">
        <v>6.2780000000000005</v>
      </c>
      <c r="AD36" s="82">
        <v>7.690666666666667</v>
      </c>
      <c r="AF36" s="76" t="s">
        <v>118</v>
      </c>
      <c r="AG36" s="112">
        <v>30</v>
      </c>
      <c r="AH36" s="113">
        <v>5.1429999999999998</v>
      </c>
      <c r="AI36" s="113">
        <v>5.9283333333333328</v>
      </c>
      <c r="AJ36" s="113">
        <v>7.3416666666666668</v>
      </c>
      <c r="AK36" s="113">
        <v>8.7553333333333345</v>
      </c>
      <c r="AL36" s="113"/>
      <c r="AN36" s="76" t="s">
        <v>118</v>
      </c>
      <c r="AO36" s="112">
        <v>30</v>
      </c>
      <c r="AP36" s="113">
        <v>6.1633333333333331</v>
      </c>
      <c r="AQ36" s="113">
        <v>7.4090000000000007</v>
      </c>
      <c r="AR36" s="113">
        <v>8.8226666666666667</v>
      </c>
      <c r="AS36" s="113">
        <v>10.235999999999999</v>
      </c>
      <c r="AT36" s="113"/>
      <c r="AV36" s="76" t="s">
        <v>118</v>
      </c>
      <c r="AW36" s="112">
        <v>30</v>
      </c>
      <c r="AX36" s="113">
        <v>11.021333333333333</v>
      </c>
      <c r="AY36" s="113">
        <v>13.380666666666666</v>
      </c>
      <c r="AZ36" s="113">
        <v>14.794333333333332</v>
      </c>
      <c r="BA36" s="113">
        <v>16.208000000000002</v>
      </c>
      <c r="BB36" s="113"/>
      <c r="BD36" s="76" t="s">
        <v>118</v>
      </c>
      <c r="BE36" s="112">
        <v>30</v>
      </c>
      <c r="BF36" s="113">
        <v>12.634666666666668</v>
      </c>
      <c r="BG36" s="113">
        <v>14.912333333333333</v>
      </c>
      <c r="BH36" s="113">
        <v>16.325666666666667</v>
      </c>
      <c r="BI36" s="113">
        <v>17.739333333333331</v>
      </c>
      <c r="BJ36" s="113"/>
      <c r="BK36" s="135"/>
    </row>
    <row r="37" spans="1:63" ht="15" thickBot="1">
      <c r="A37" s="76" t="s">
        <v>118</v>
      </c>
      <c r="B37" s="81">
        <v>50</v>
      </c>
      <c r="C37" s="82">
        <v>4.0697999999999999</v>
      </c>
      <c r="D37" s="82">
        <v>4.6588000000000003</v>
      </c>
      <c r="E37" s="82">
        <v>6.0725999999999996</v>
      </c>
      <c r="F37" s="82">
        <v>7.4862000000000002</v>
      </c>
      <c r="G37" s="82"/>
      <c r="I37" s="76" t="s">
        <v>118</v>
      </c>
      <c r="J37" s="81">
        <v>50</v>
      </c>
      <c r="K37" s="82">
        <v>5.5251999999999999</v>
      </c>
      <c r="L37" s="82">
        <v>6.9085999999999999</v>
      </c>
      <c r="M37" s="82">
        <v>8.3222000000000005</v>
      </c>
      <c r="N37" s="82">
        <v>9.7358000000000011</v>
      </c>
      <c r="O37" s="82"/>
      <c r="Q37" s="76" t="s">
        <v>118</v>
      </c>
      <c r="R37" s="81">
        <v>50</v>
      </c>
      <c r="S37" s="82">
        <v>6.0537999999999998</v>
      </c>
      <c r="T37" s="82">
        <v>7.2029999999999994</v>
      </c>
      <c r="U37" s="82">
        <v>8.6166</v>
      </c>
      <c r="V37" s="82">
        <v>10.0304</v>
      </c>
      <c r="W37" s="82"/>
      <c r="Y37" s="76" t="s">
        <v>118</v>
      </c>
      <c r="Z37" s="81">
        <v>50</v>
      </c>
      <c r="AA37" s="82">
        <v>4.0697999999999999</v>
      </c>
      <c r="AB37" s="82">
        <v>4.6588000000000003</v>
      </c>
      <c r="AC37" s="82">
        <v>6.0725999999999996</v>
      </c>
      <c r="AD37" s="82">
        <v>7.4862000000000002</v>
      </c>
      <c r="AF37" s="76" t="s">
        <v>118</v>
      </c>
      <c r="AG37" s="112">
        <v>50</v>
      </c>
      <c r="AH37" s="113">
        <v>5.1032000000000002</v>
      </c>
      <c r="AI37" s="113">
        <v>5.8884000000000007</v>
      </c>
      <c r="AJ37" s="113">
        <v>7.3020000000000005</v>
      </c>
      <c r="AK37" s="113">
        <v>8.7156000000000002</v>
      </c>
      <c r="AL37" s="113"/>
      <c r="AN37" s="76" t="s">
        <v>118</v>
      </c>
      <c r="AO37" s="112">
        <v>50</v>
      </c>
      <c r="AP37" s="113">
        <v>6.0537999999999998</v>
      </c>
      <c r="AQ37" s="113">
        <v>7.2029999999999994</v>
      </c>
      <c r="AR37" s="113">
        <v>8.6166</v>
      </c>
      <c r="AS37" s="113">
        <v>10.0304</v>
      </c>
      <c r="AT37" s="113"/>
      <c r="AV37" s="76" t="s">
        <v>118</v>
      </c>
      <c r="AW37" s="112">
        <v>50</v>
      </c>
      <c r="AX37" s="113">
        <v>10.812000000000001</v>
      </c>
      <c r="AY37" s="113">
        <v>12.8796</v>
      </c>
      <c r="AZ37" s="113">
        <v>14.293199999999999</v>
      </c>
      <c r="BA37" s="113">
        <v>15.706800000000001</v>
      </c>
      <c r="BB37" s="113"/>
      <c r="BD37" s="76" t="s">
        <v>118</v>
      </c>
      <c r="BE37" s="112">
        <v>50</v>
      </c>
      <c r="BF37" s="113">
        <v>12.152999999999999</v>
      </c>
      <c r="BG37" s="113">
        <v>13.765799999999999</v>
      </c>
      <c r="BH37" s="113">
        <v>15.179600000000001</v>
      </c>
      <c r="BI37" s="113">
        <v>16.5928</v>
      </c>
      <c r="BJ37" s="113"/>
      <c r="BK37" s="135"/>
    </row>
    <row r="38" spans="1:63" ht="13.8">
      <c r="A38" s="76"/>
      <c r="B38" s="76"/>
      <c r="C38" s="83"/>
      <c r="D38" s="83"/>
      <c r="E38" s="83"/>
      <c r="F38" s="83"/>
      <c r="G38" s="83"/>
      <c r="I38" s="76"/>
      <c r="J38" s="76"/>
      <c r="K38" s="83"/>
      <c r="L38" s="83"/>
      <c r="M38" s="83"/>
      <c r="N38" s="83"/>
      <c r="O38" s="83"/>
      <c r="Q38" s="76"/>
      <c r="R38" s="76"/>
      <c r="S38" s="83"/>
      <c r="T38" s="83"/>
      <c r="U38" s="83"/>
      <c r="V38" s="83"/>
      <c r="W38" s="83"/>
      <c r="Y38" s="76"/>
      <c r="Z38" s="76"/>
      <c r="AA38" s="83"/>
      <c r="AB38" s="83"/>
      <c r="AC38" s="83"/>
      <c r="AD38" s="83"/>
      <c r="AF38" s="76"/>
      <c r="AG38" s="76"/>
      <c r="AH38" s="83"/>
      <c r="AI38" s="83"/>
      <c r="AJ38" s="83"/>
      <c r="AK38" s="83"/>
      <c r="AL38" s="83"/>
      <c r="AN38" s="76"/>
      <c r="AO38" s="76"/>
      <c r="AP38" s="83"/>
      <c r="AQ38" s="83"/>
      <c r="AR38" s="83"/>
      <c r="AS38" s="83"/>
      <c r="AT38" s="83"/>
      <c r="AV38" s="76"/>
      <c r="AW38" s="76"/>
      <c r="AX38" s="83"/>
      <c r="AY38" s="83"/>
      <c r="AZ38" s="83"/>
      <c r="BA38" s="83"/>
      <c r="BB38" s="83"/>
      <c r="BD38" s="76"/>
      <c r="BE38" s="76"/>
      <c r="BF38" s="83"/>
      <c r="BG38" s="83"/>
      <c r="BH38" s="83"/>
      <c r="BI38" s="83"/>
      <c r="BJ38" s="83"/>
      <c r="BK38" s="83"/>
    </row>
    <row r="39" spans="1:63" ht="14.4" thickBot="1">
      <c r="A39" s="76"/>
      <c r="B39" s="76"/>
      <c r="C39" s="83"/>
      <c r="D39" s="83"/>
      <c r="E39" s="83"/>
      <c r="F39" s="83"/>
      <c r="G39" s="83"/>
      <c r="I39" s="76"/>
      <c r="J39" s="76"/>
      <c r="K39" s="83"/>
      <c r="L39" s="83"/>
      <c r="M39" s="83"/>
      <c r="N39" s="83"/>
      <c r="O39" s="83"/>
      <c r="Q39" s="76"/>
      <c r="R39" s="76"/>
      <c r="S39" s="83"/>
      <c r="T39" s="83"/>
      <c r="U39" s="83"/>
      <c r="V39" s="83"/>
      <c r="W39" s="83"/>
      <c r="Y39" s="76"/>
      <c r="Z39" s="76"/>
      <c r="AA39" s="83"/>
      <c r="AB39" s="83"/>
      <c r="AC39" s="83"/>
      <c r="AD39" s="83"/>
      <c r="AF39" s="76"/>
      <c r="AG39" s="76"/>
      <c r="AH39" s="83"/>
      <c r="AI39" s="83"/>
      <c r="AJ39" s="83"/>
      <c r="AK39" s="83"/>
      <c r="AL39" s="83"/>
      <c r="AN39" s="76"/>
      <c r="AO39" s="76"/>
      <c r="AP39" s="83"/>
      <c r="AQ39" s="83"/>
      <c r="AR39" s="83"/>
      <c r="AS39" s="83"/>
      <c r="AT39" s="83"/>
      <c r="AV39" s="76"/>
      <c r="AW39" s="76"/>
      <c r="AX39" s="83"/>
      <c r="AY39" s="83"/>
      <c r="AZ39" s="83"/>
      <c r="BA39" s="83"/>
      <c r="BB39" s="83"/>
      <c r="BD39" s="76"/>
      <c r="BE39" s="76"/>
      <c r="BF39" s="83"/>
      <c r="BG39" s="83"/>
      <c r="BH39" s="83"/>
      <c r="BI39" s="83"/>
      <c r="BJ39" s="83"/>
      <c r="BK39" s="83"/>
    </row>
    <row r="40" spans="1:63" ht="29.4" thickBot="1">
      <c r="A40" s="76"/>
      <c r="B40" s="77" t="s">
        <v>77</v>
      </c>
      <c r="C40" s="78" t="s">
        <v>93</v>
      </c>
      <c r="D40" s="78"/>
      <c r="E40" s="78" t="s">
        <v>112</v>
      </c>
      <c r="F40" s="78"/>
      <c r="I40" s="76"/>
      <c r="J40" s="77" t="s">
        <v>77</v>
      </c>
      <c r="K40" s="85" t="s">
        <v>94</v>
      </c>
      <c r="L40" s="86"/>
      <c r="M40" s="78" t="s">
        <v>112</v>
      </c>
      <c r="N40" s="78"/>
      <c r="O40" s="75"/>
      <c r="Q40" s="76"/>
      <c r="R40" s="81" t="s">
        <v>77</v>
      </c>
      <c r="S40" s="105" t="s">
        <v>95</v>
      </c>
      <c r="T40" s="105"/>
      <c r="U40" s="79" t="s">
        <v>112</v>
      </c>
      <c r="V40" s="79"/>
      <c r="Y40" s="76"/>
      <c r="Z40" s="81" t="s">
        <v>77</v>
      </c>
      <c r="AA40" s="79" t="s">
        <v>96</v>
      </c>
      <c r="AB40" s="79"/>
      <c r="AC40" s="79" t="s">
        <v>112</v>
      </c>
      <c r="AD40" s="79"/>
      <c r="AF40" s="76"/>
      <c r="AG40" s="108" t="s">
        <v>77</v>
      </c>
      <c r="AH40" s="109" t="s">
        <v>97</v>
      </c>
      <c r="AI40" s="109"/>
      <c r="AJ40" s="109" t="s">
        <v>112</v>
      </c>
      <c r="AK40" s="109"/>
      <c r="AN40" s="76"/>
      <c r="AO40" s="108" t="s">
        <v>77</v>
      </c>
      <c r="AP40" s="109" t="s">
        <v>92</v>
      </c>
      <c r="AQ40" s="109"/>
      <c r="AR40" s="109" t="s">
        <v>112</v>
      </c>
      <c r="AS40" s="109"/>
      <c r="AV40" s="76"/>
      <c r="AW40" s="108" t="s">
        <v>77</v>
      </c>
      <c r="AX40" s="109" t="s">
        <v>99</v>
      </c>
      <c r="AY40" s="109"/>
      <c r="AZ40" s="109" t="s">
        <v>112</v>
      </c>
      <c r="BA40" s="109"/>
      <c r="BD40" s="76"/>
      <c r="BE40" s="108" t="s">
        <v>77</v>
      </c>
      <c r="BF40" s="109" t="s">
        <v>100</v>
      </c>
      <c r="BG40" s="109"/>
      <c r="BH40" s="109" t="s">
        <v>112</v>
      </c>
      <c r="BI40" s="109"/>
    </row>
    <row r="41" spans="1:63" ht="29.4" thickBot="1">
      <c r="A41" s="76"/>
      <c r="B41" s="77"/>
      <c r="C41" s="80" t="s">
        <v>109</v>
      </c>
      <c r="D41" s="80" t="s">
        <v>114</v>
      </c>
      <c r="E41" s="80" t="s">
        <v>115</v>
      </c>
      <c r="F41" s="80" t="s">
        <v>116</v>
      </c>
      <c r="I41" s="76"/>
      <c r="J41" s="77"/>
      <c r="K41" s="80" t="s">
        <v>109</v>
      </c>
      <c r="L41" s="80" t="s">
        <v>114</v>
      </c>
      <c r="M41" s="80" t="s">
        <v>115</v>
      </c>
      <c r="N41" s="80" t="s">
        <v>116</v>
      </c>
      <c r="O41" s="75"/>
      <c r="Q41" s="76"/>
      <c r="R41" s="81"/>
      <c r="S41" s="80" t="s">
        <v>109</v>
      </c>
      <c r="T41" s="80" t="s">
        <v>114</v>
      </c>
      <c r="U41" s="80" t="s">
        <v>115</v>
      </c>
      <c r="V41" s="80" t="s">
        <v>116</v>
      </c>
      <c r="Y41" s="76"/>
      <c r="Z41" s="81"/>
      <c r="AA41" s="80" t="s">
        <v>109</v>
      </c>
      <c r="AB41" s="80" t="s">
        <v>114</v>
      </c>
      <c r="AC41" s="80" t="s">
        <v>115</v>
      </c>
      <c r="AD41" s="80" t="s">
        <v>116</v>
      </c>
      <c r="AF41" s="76"/>
      <c r="AG41" s="108"/>
      <c r="AH41" s="111" t="s">
        <v>109</v>
      </c>
      <c r="AI41" s="111" t="s">
        <v>114</v>
      </c>
      <c r="AJ41" s="111" t="s">
        <v>115</v>
      </c>
      <c r="AK41" s="111" t="s">
        <v>116</v>
      </c>
      <c r="AN41" s="76"/>
      <c r="AO41" s="108"/>
      <c r="AP41" s="111" t="s">
        <v>109</v>
      </c>
      <c r="AQ41" s="111" t="s">
        <v>114</v>
      </c>
      <c r="AR41" s="111" t="s">
        <v>115</v>
      </c>
      <c r="AS41" s="111" t="s">
        <v>116</v>
      </c>
      <c r="AV41" s="76"/>
      <c r="AW41" s="108"/>
      <c r="AX41" s="111" t="s">
        <v>109</v>
      </c>
      <c r="AY41" s="111" t="s">
        <v>114</v>
      </c>
      <c r="AZ41" s="111" t="s">
        <v>115</v>
      </c>
      <c r="BA41" s="111" t="s">
        <v>116</v>
      </c>
      <c r="BD41" s="76"/>
      <c r="BE41" s="108"/>
      <c r="BF41" s="111" t="s">
        <v>109</v>
      </c>
      <c r="BG41" s="111" t="s">
        <v>114</v>
      </c>
      <c r="BH41" s="111" t="s">
        <v>115</v>
      </c>
      <c r="BI41" s="111" t="s">
        <v>116</v>
      </c>
    </row>
    <row r="42" spans="1:63" ht="15" thickBot="1">
      <c r="A42" s="76" t="s">
        <v>119</v>
      </c>
      <c r="B42" s="81">
        <v>1</v>
      </c>
      <c r="C42" s="82">
        <v>11.95</v>
      </c>
      <c r="D42" s="82">
        <v>12.71</v>
      </c>
      <c r="E42" s="82">
        <v>14.12</v>
      </c>
      <c r="F42" s="82">
        <v>15.54</v>
      </c>
      <c r="I42" s="76" t="s">
        <v>119</v>
      </c>
      <c r="J42" s="81">
        <v>1</v>
      </c>
      <c r="K42" s="82">
        <v>15.32</v>
      </c>
      <c r="L42" s="82">
        <v>16.329999999999998</v>
      </c>
      <c r="M42" s="82">
        <v>17.75</v>
      </c>
      <c r="N42" s="82">
        <v>19.16</v>
      </c>
      <c r="O42" s="75"/>
      <c r="Q42" s="76" t="s">
        <v>118</v>
      </c>
      <c r="R42" s="81">
        <v>1</v>
      </c>
      <c r="S42" s="82">
        <v>17.04</v>
      </c>
      <c r="T42" s="82">
        <v>18.489999999999998</v>
      </c>
      <c r="U42" s="82">
        <v>19.899999999999999</v>
      </c>
      <c r="V42" s="82">
        <v>21.32</v>
      </c>
      <c r="Y42" s="76" t="s">
        <v>119</v>
      </c>
      <c r="Z42" s="81">
        <v>1</v>
      </c>
      <c r="AA42" s="82">
        <v>11.95</v>
      </c>
      <c r="AB42" s="82">
        <v>12.71</v>
      </c>
      <c r="AC42" s="82">
        <v>14.12</v>
      </c>
      <c r="AD42" s="82">
        <v>15.54</v>
      </c>
      <c r="AF42" s="76" t="s">
        <v>119</v>
      </c>
      <c r="AG42" s="112">
        <v>1</v>
      </c>
      <c r="AH42" s="113">
        <v>12.78</v>
      </c>
      <c r="AI42" s="113">
        <v>13.79</v>
      </c>
      <c r="AJ42" s="113">
        <v>15.2</v>
      </c>
      <c r="AK42" s="113">
        <v>16.62</v>
      </c>
      <c r="AN42" s="76" t="s">
        <v>118</v>
      </c>
      <c r="AO42" s="112">
        <v>1</v>
      </c>
      <c r="AP42" s="113">
        <v>13.49</v>
      </c>
      <c r="AQ42" s="113">
        <v>14.69</v>
      </c>
      <c r="AR42" s="113">
        <v>16.11</v>
      </c>
      <c r="AS42" s="113">
        <v>17.52</v>
      </c>
      <c r="AV42" s="76" t="s">
        <v>119</v>
      </c>
      <c r="AW42" s="112">
        <v>1</v>
      </c>
      <c r="AX42" s="113">
        <v>22.25</v>
      </c>
      <c r="AY42" s="113">
        <v>25.15</v>
      </c>
      <c r="AZ42" s="113">
        <v>26.56</v>
      </c>
      <c r="BA42" s="113">
        <v>27.97</v>
      </c>
      <c r="BD42" s="76" t="s">
        <v>119</v>
      </c>
      <c r="BE42" s="112">
        <v>1</v>
      </c>
      <c r="BF42" s="113">
        <v>21.8</v>
      </c>
      <c r="BG42" s="113">
        <v>24.84</v>
      </c>
      <c r="BH42" s="113">
        <v>26.26</v>
      </c>
      <c r="BI42" s="113">
        <v>27.67</v>
      </c>
    </row>
    <row r="43" spans="1:63" ht="15" thickBot="1">
      <c r="A43" s="76" t="s">
        <v>119</v>
      </c>
      <c r="B43" s="81">
        <v>2</v>
      </c>
      <c r="C43" s="82">
        <v>7.5750000000000002</v>
      </c>
      <c r="D43" s="82">
        <v>8.3350000000000009</v>
      </c>
      <c r="E43" s="82">
        <v>9.75</v>
      </c>
      <c r="F43" s="82">
        <v>11.16</v>
      </c>
      <c r="I43" s="76" t="s">
        <v>119</v>
      </c>
      <c r="J43" s="81">
        <v>2</v>
      </c>
      <c r="K43" s="82">
        <v>9.7650000000000006</v>
      </c>
      <c r="L43" s="82">
        <v>10.78</v>
      </c>
      <c r="M43" s="82">
        <v>12.195</v>
      </c>
      <c r="N43" s="82">
        <v>13.605</v>
      </c>
      <c r="O43" s="75"/>
      <c r="Q43" s="76" t="s">
        <v>118</v>
      </c>
      <c r="R43" s="81">
        <v>2</v>
      </c>
      <c r="S43" s="82">
        <v>11.49</v>
      </c>
      <c r="T43" s="82">
        <v>1.1257615317667538</v>
      </c>
      <c r="U43" s="82">
        <v>1.1093931194433706</v>
      </c>
      <c r="V43" s="82">
        <v>1.0986062717770035</v>
      </c>
      <c r="Y43" s="76" t="s">
        <v>119</v>
      </c>
      <c r="Z43" s="81">
        <v>2</v>
      </c>
      <c r="AA43" s="82">
        <v>7.5750000000000002</v>
      </c>
      <c r="AB43" s="82">
        <v>8.3350000000000009</v>
      </c>
      <c r="AC43" s="82">
        <v>9.75</v>
      </c>
      <c r="AD43" s="82">
        <v>11.16</v>
      </c>
      <c r="AF43" s="76" t="s">
        <v>119</v>
      </c>
      <c r="AG43" s="112">
        <v>2</v>
      </c>
      <c r="AH43" s="113">
        <v>16.8</v>
      </c>
      <c r="AI43" s="113">
        <v>18.829999999999998</v>
      </c>
      <c r="AJ43" s="113">
        <v>21.65</v>
      </c>
      <c r="AK43" s="113">
        <v>24.48</v>
      </c>
      <c r="AN43" s="76" t="s">
        <v>118</v>
      </c>
      <c r="AO43" s="112">
        <v>2</v>
      </c>
      <c r="AP43" s="113">
        <v>18.22</v>
      </c>
      <c r="AQ43" s="113">
        <v>20.63</v>
      </c>
      <c r="AR43" s="113">
        <v>23.46</v>
      </c>
      <c r="AS43" s="113">
        <v>26.28</v>
      </c>
      <c r="AV43" s="76" t="s">
        <v>119</v>
      </c>
      <c r="AW43" s="112">
        <v>2</v>
      </c>
      <c r="AX43" s="113">
        <v>16.695</v>
      </c>
      <c r="AY43" s="113">
        <v>19.59</v>
      </c>
      <c r="AZ43" s="113">
        <v>21.004999999999999</v>
      </c>
      <c r="BA43" s="113">
        <v>22.42</v>
      </c>
      <c r="BD43" s="76" t="s">
        <v>119</v>
      </c>
      <c r="BE43" s="112">
        <v>2</v>
      </c>
      <c r="BF43" s="113">
        <v>16.655000000000001</v>
      </c>
      <c r="BG43" s="113">
        <v>19.7</v>
      </c>
      <c r="BH43" s="113">
        <v>21.114999999999998</v>
      </c>
      <c r="BI43" s="113">
        <v>22.524999999999999</v>
      </c>
    </row>
    <row r="44" spans="1:63" ht="15" thickBot="1">
      <c r="A44" s="76" t="s">
        <v>119</v>
      </c>
      <c r="B44" s="81">
        <v>4</v>
      </c>
      <c r="C44" s="82">
        <v>5.3849999999999998</v>
      </c>
      <c r="D44" s="82">
        <v>6.1449999999999996</v>
      </c>
      <c r="E44" s="82">
        <v>7.56</v>
      </c>
      <c r="F44" s="82">
        <v>8.9725000000000001</v>
      </c>
      <c r="I44" s="76" t="s">
        <v>119</v>
      </c>
      <c r="J44" s="81">
        <v>4</v>
      </c>
      <c r="K44" s="82">
        <v>6.9874999999999998</v>
      </c>
      <c r="L44" s="82">
        <v>8.0024999999999995</v>
      </c>
      <c r="M44" s="82">
        <v>9.4149999999999991</v>
      </c>
      <c r="N44" s="82">
        <v>10.83</v>
      </c>
      <c r="O44" s="75"/>
      <c r="Q44" s="76" t="s">
        <v>118</v>
      </c>
      <c r="R44" s="81">
        <v>4</v>
      </c>
      <c r="S44" s="82">
        <v>8.7100000000000009</v>
      </c>
      <c r="T44" s="82">
        <v>10.157500000000001</v>
      </c>
      <c r="U44" s="82">
        <v>11.5725</v>
      </c>
      <c r="V44" s="82">
        <v>12.984999999999999</v>
      </c>
      <c r="Y44" s="76" t="s">
        <v>119</v>
      </c>
      <c r="Z44" s="81">
        <v>4</v>
      </c>
      <c r="AA44" s="82">
        <v>5.3849999999999998</v>
      </c>
      <c r="AB44" s="82">
        <v>6.1449999999999996</v>
      </c>
      <c r="AC44" s="82">
        <v>7.56</v>
      </c>
      <c r="AD44" s="82">
        <v>8.9725000000000001</v>
      </c>
      <c r="AF44" s="76" t="s">
        <v>119</v>
      </c>
      <c r="AG44" s="112">
        <v>4</v>
      </c>
      <c r="AH44" s="113">
        <v>24.84</v>
      </c>
      <c r="AI44" s="113">
        <v>28.9</v>
      </c>
      <c r="AJ44" s="113">
        <v>34.549999999999997</v>
      </c>
      <c r="AK44" s="113">
        <v>40.21</v>
      </c>
      <c r="AN44" s="76" t="s">
        <v>118</v>
      </c>
      <c r="AO44" s="112">
        <v>4</v>
      </c>
      <c r="AP44" s="113">
        <v>27.69</v>
      </c>
      <c r="AQ44" s="113">
        <v>32.5</v>
      </c>
      <c r="AR44" s="113">
        <v>38.159999999999997</v>
      </c>
      <c r="AS44" s="113">
        <v>43.81</v>
      </c>
      <c r="AV44" s="76" t="s">
        <v>119</v>
      </c>
      <c r="AW44" s="112">
        <v>4</v>
      </c>
      <c r="AX44" s="113">
        <v>13.9175</v>
      </c>
      <c r="AY44" s="113">
        <v>16.8125</v>
      </c>
      <c r="AZ44" s="113">
        <v>18.227499999999999</v>
      </c>
      <c r="BA44" s="113">
        <v>19.64</v>
      </c>
      <c r="BD44" s="76" t="s">
        <v>119</v>
      </c>
      <c r="BE44" s="112">
        <v>4</v>
      </c>
      <c r="BF44" s="113">
        <v>14.0825</v>
      </c>
      <c r="BG44" s="113">
        <v>17.127500000000001</v>
      </c>
      <c r="BH44" s="113">
        <v>18.5425</v>
      </c>
      <c r="BI44" s="113">
        <v>19.954999999999998</v>
      </c>
    </row>
    <row r="45" spans="1:63" ht="15" thickBot="1">
      <c r="A45" s="76" t="s">
        <v>119</v>
      </c>
      <c r="B45" s="81">
        <v>8</v>
      </c>
      <c r="C45" s="82">
        <v>4.29</v>
      </c>
      <c r="D45" s="82">
        <v>5.0512499999999996</v>
      </c>
      <c r="E45" s="82">
        <v>6.4649999999999999</v>
      </c>
      <c r="F45" s="82">
        <v>7.8787500000000001</v>
      </c>
      <c r="I45" s="76" t="s">
        <v>119</v>
      </c>
      <c r="J45" s="81">
        <v>8</v>
      </c>
      <c r="K45" s="82">
        <v>5.5975000000000001</v>
      </c>
      <c r="L45" s="82">
        <v>6.6124999999999998</v>
      </c>
      <c r="M45" s="82">
        <v>8.0262499999999992</v>
      </c>
      <c r="N45" s="82">
        <v>9.44</v>
      </c>
      <c r="O45" s="75"/>
      <c r="Q45" s="76" t="s">
        <v>118</v>
      </c>
      <c r="R45" s="81">
        <v>8</v>
      </c>
      <c r="S45" s="82">
        <v>7.3224999999999998</v>
      </c>
      <c r="T45" s="82">
        <v>8.77</v>
      </c>
      <c r="U45" s="82">
        <v>10.18375</v>
      </c>
      <c r="V45" s="82">
        <v>11.59625</v>
      </c>
      <c r="Y45" s="76" t="s">
        <v>119</v>
      </c>
      <c r="Z45" s="81">
        <v>8</v>
      </c>
      <c r="AA45" s="82">
        <v>4.29</v>
      </c>
      <c r="AB45" s="82">
        <v>5.0512499999999996</v>
      </c>
      <c r="AC45" s="82">
        <v>6.4649999999999999</v>
      </c>
      <c r="AD45" s="82">
        <v>7.8787500000000001</v>
      </c>
      <c r="AF45" s="76" t="s">
        <v>119</v>
      </c>
      <c r="AG45" s="112">
        <v>8</v>
      </c>
      <c r="AH45" s="113">
        <v>40.93</v>
      </c>
      <c r="AI45" s="113">
        <v>49.05</v>
      </c>
      <c r="AJ45" s="113">
        <v>60.36</v>
      </c>
      <c r="AK45" s="113">
        <v>71.66</v>
      </c>
      <c r="AN45" s="76" t="s">
        <v>118</v>
      </c>
      <c r="AO45" s="112">
        <v>8</v>
      </c>
      <c r="AP45" s="113">
        <v>46.63</v>
      </c>
      <c r="AQ45" s="113">
        <v>56.25</v>
      </c>
      <c r="AR45" s="113">
        <v>67.56</v>
      </c>
      <c r="AS45" s="113">
        <v>78.87</v>
      </c>
      <c r="AV45" s="76" t="s">
        <v>119</v>
      </c>
      <c r="AW45" s="112">
        <v>8</v>
      </c>
      <c r="AX45" s="113">
        <v>12.53</v>
      </c>
      <c r="AY45" s="113">
        <v>15.425000000000001</v>
      </c>
      <c r="AZ45" s="113">
        <v>16.838750000000001</v>
      </c>
      <c r="BA45" s="113">
        <v>18.252500000000001</v>
      </c>
      <c r="BD45" s="76" t="s">
        <v>119</v>
      </c>
      <c r="BE45" s="112">
        <v>8</v>
      </c>
      <c r="BF45" s="113">
        <v>12.797499999999999</v>
      </c>
      <c r="BG45" s="113">
        <v>15.842499999999999</v>
      </c>
      <c r="BH45" s="113">
        <v>17.256250000000001</v>
      </c>
      <c r="BI45" s="113">
        <v>18.670000000000002</v>
      </c>
    </row>
    <row r="46" spans="1:63" ht="15" thickBot="1">
      <c r="A46" s="76" t="s">
        <v>119</v>
      </c>
      <c r="B46" s="81">
        <v>10</v>
      </c>
      <c r="C46" s="82">
        <v>4.0709999999999997</v>
      </c>
      <c r="D46" s="82">
        <v>4.8330000000000002</v>
      </c>
      <c r="E46" s="82">
        <v>6.2460000000000004</v>
      </c>
      <c r="F46" s="82">
        <v>7.6599999999999993</v>
      </c>
      <c r="I46" s="76" t="s">
        <v>119</v>
      </c>
      <c r="J46" s="81">
        <v>10</v>
      </c>
      <c r="K46" s="82">
        <v>5.32</v>
      </c>
      <c r="L46" s="82">
        <v>6.335</v>
      </c>
      <c r="M46" s="82">
        <v>7.7489999999999997</v>
      </c>
      <c r="N46" s="82">
        <v>9.1630000000000003</v>
      </c>
      <c r="O46" s="75"/>
      <c r="Q46" s="76" t="s">
        <v>118</v>
      </c>
      <c r="R46" s="81">
        <v>10</v>
      </c>
      <c r="S46" s="82">
        <v>7.0449999999999999</v>
      </c>
      <c r="T46" s="82">
        <v>8.4920000000000009</v>
      </c>
      <c r="U46" s="82">
        <v>9.9060000000000006</v>
      </c>
      <c r="V46" s="82">
        <v>11.318999999999999</v>
      </c>
      <c r="Y46" s="76" t="s">
        <v>119</v>
      </c>
      <c r="Z46" s="81">
        <v>10</v>
      </c>
      <c r="AA46" s="82">
        <v>4.0709999999999997</v>
      </c>
      <c r="AB46" s="82">
        <v>4.8330000000000002</v>
      </c>
      <c r="AC46" s="82">
        <v>6.2460000000000004</v>
      </c>
      <c r="AD46" s="82">
        <v>7.6599999999999993</v>
      </c>
      <c r="AF46" s="76" t="s">
        <v>119</v>
      </c>
      <c r="AG46" s="112">
        <v>10</v>
      </c>
      <c r="AH46" s="113">
        <v>48.97</v>
      </c>
      <c r="AI46" s="113">
        <v>59.12</v>
      </c>
      <c r="AJ46" s="113">
        <v>73.260000000000005</v>
      </c>
      <c r="AK46" s="113">
        <v>87.39</v>
      </c>
      <c r="AN46" s="76" t="s">
        <v>118</v>
      </c>
      <c r="AO46" s="112">
        <v>10</v>
      </c>
      <c r="AP46" s="113">
        <v>56.1</v>
      </c>
      <c r="AQ46" s="113">
        <v>68.13</v>
      </c>
      <c r="AR46" s="113">
        <v>82.27</v>
      </c>
      <c r="AS46" s="113">
        <v>96.4</v>
      </c>
      <c r="AV46" s="76" t="s">
        <v>119</v>
      </c>
      <c r="AW46" s="112">
        <v>10</v>
      </c>
      <c r="AX46" s="113">
        <v>12.251999999999999</v>
      </c>
      <c r="AY46" s="113">
        <v>15.147</v>
      </c>
      <c r="AZ46" s="113">
        <v>16.561</v>
      </c>
      <c r="BA46" s="113">
        <v>17.974</v>
      </c>
      <c r="BD46" s="76" t="s">
        <v>119</v>
      </c>
      <c r="BE46" s="112">
        <v>10</v>
      </c>
      <c r="BF46" s="113">
        <v>12.540000000000001</v>
      </c>
      <c r="BG46" s="113">
        <v>15.584999999999999</v>
      </c>
      <c r="BH46" s="113">
        <v>16.999000000000002</v>
      </c>
      <c r="BI46" s="113">
        <v>18.411999999999999</v>
      </c>
    </row>
    <row r="47" spans="1:63" ht="15" thickBot="1">
      <c r="A47" s="76" t="s">
        <v>119</v>
      </c>
      <c r="B47" s="81">
        <v>16</v>
      </c>
      <c r="C47" s="82">
        <v>3.743125</v>
      </c>
      <c r="D47" s="82">
        <v>4.5043749999999996</v>
      </c>
      <c r="E47" s="82">
        <v>5.9181249999999999</v>
      </c>
      <c r="F47" s="82">
        <v>7.3318750000000001</v>
      </c>
      <c r="I47" s="76" t="s">
        <v>119</v>
      </c>
      <c r="J47" s="81">
        <v>16</v>
      </c>
      <c r="K47" s="82">
        <v>4.9037499999999996</v>
      </c>
      <c r="L47" s="82">
        <v>5.9187500000000002</v>
      </c>
      <c r="M47" s="82">
        <v>7.3324999999999996</v>
      </c>
      <c r="N47" s="82">
        <v>8.7462499999999999</v>
      </c>
      <c r="O47" s="75"/>
      <c r="Q47" s="76" t="s">
        <v>118</v>
      </c>
      <c r="R47" s="81">
        <v>16</v>
      </c>
      <c r="S47" s="82">
        <v>6.6281249999999998</v>
      </c>
      <c r="T47" s="82">
        <v>8.078125</v>
      </c>
      <c r="U47" s="82">
        <v>9.4887499999999996</v>
      </c>
      <c r="V47" s="82">
        <v>10.9025</v>
      </c>
      <c r="Y47" s="76" t="s">
        <v>119</v>
      </c>
      <c r="Z47" s="81">
        <v>16</v>
      </c>
      <c r="AA47" s="82">
        <v>3.743125</v>
      </c>
      <c r="AB47" s="82">
        <v>4.5043749999999996</v>
      </c>
      <c r="AC47" s="82">
        <v>5.9181249999999999</v>
      </c>
      <c r="AD47" s="82">
        <v>7.3318750000000001</v>
      </c>
      <c r="AF47" s="76" t="s">
        <v>119</v>
      </c>
      <c r="AG47" s="112">
        <v>16</v>
      </c>
      <c r="AH47" s="113">
        <v>73.099999999999994</v>
      </c>
      <c r="AI47" s="113">
        <v>89.34</v>
      </c>
      <c r="AJ47" s="113">
        <v>111.96</v>
      </c>
      <c r="AK47" s="113">
        <v>134.58000000000001</v>
      </c>
      <c r="AN47" s="76" t="s">
        <v>118</v>
      </c>
      <c r="AO47" s="112">
        <v>16</v>
      </c>
      <c r="AP47" s="113">
        <v>84.51</v>
      </c>
      <c r="AQ47" s="113">
        <v>103.75</v>
      </c>
      <c r="AR47" s="113">
        <v>126.37</v>
      </c>
      <c r="AS47" s="113">
        <v>148.99</v>
      </c>
      <c r="AV47" s="76" t="s">
        <v>119</v>
      </c>
      <c r="AW47" s="112">
        <v>16</v>
      </c>
      <c r="AX47" s="113">
        <v>11.835625</v>
      </c>
      <c r="AY47" s="113">
        <v>14.730625</v>
      </c>
      <c r="AZ47" s="113">
        <v>16.143750000000001</v>
      </c>
      <c r="BA47" s="113">
        <v>17.557500000000001</v>
      </c>
      <c r="BD47" s="76" t="s">
        <v>119</v>
      </c>
      <c r="BE47" s="112">
        <v>16</v>
      </c>
      <c r="BF47" s="113">
        <v>12.681875</v>
      </c>
      <c r="BG47" s="113">
        <v>15.726875</v>
      </c>
      <c r="BH47" s="113">
        <v>17.140625</v>
      </c>
      <c r="BI47" s="113">
        <v>18.554375</v>
      </c>
    </row>
    <row r="48" spans="1:63" ht="15" thickBot="1">
      <c r="A48" s="76" t="s">
        <v>119</v>
      </c>
      <c r="B48" s="81">
        <v>20</v>
      </c>
      <c r="C48" s="82">
        <v>3.6335000000000002</v>
      </c>
      <c r="D48" s="82">
        <v>4.3950000000000005</v>
      </c>
      <c r="E48" s="82">
        <v>5.8085000000000004</v>
      </c>
      <c r="F48" s="82">
        <v>7.2224999999999993</v>
      </c>
      <c r="I48" s="76" t="s">
        <v>119</v>
      </c>
      <c r="J48" s="81">
        <v>20</v>
      </c>
      <c r="K48" s="82">
        <v>4.7649999999999997</v>
      </c>
      <c r="L48" s="82">
        <v>5.7799999999999994</v>
      </c>
      <c r="M48" s="82">
        <v>7.1935000000000002</v>
      </c>
      <c r="N48" s="82">
        <v>8.6069999999999993</v>
      </c>
      <c r="O48" s="75"/>
      <c r="Q48" s="76" t="s">
        <v>118</v>
      </c>
      <c r="R48" s="81">
        <v>20</v>
      </c>
      <c r="S48" s="82">
        <v>6.4889999999999999</v>
      </c>
      <c r="T48" s="82">
        <v>7.9364999999999997</v>
      </c>
      <c r="U48" s="82">
        <v>9.35</v>
      </c>
      <c r="V48" s="82">
        <v>10.763500000000001</v>
      </c>
      <c r="Y48" s="76" t="s">
        <v>119</v>
      </c>
      <c r="Z48" s="81">
        <v>20</v>
      </c>
      <c r="AA48" s="82">
        <v>3.6335000000000002</v>
      </c>
      <c r="AB48" s="82">
        <v>4.3950000000000005</v>
      </c>
      <c r="AC48" s="82">
        <v>5.8085000000000004</v>
      </c>
      <c r="AD48" s="82">
        <v>7.2224999999999993</v>
      </c>
      <c r="AF48" s="76" t="s">
        <v>119</v>
      </c>
      <c r="AG48" s="112">
        <v>20</v>
      </c>
      <c r="AH48" s="113">
        <v>89.18</v>
      </c>
      <c r="AI48" s="113">
        <v>109.49</v>
      </c>
      <c r="AJ48" s="113">
        <v>137.76</v>
      </c>
      <c r="AK48" s="113">
        <v>166.03</v>
      </c>
      <c r="AN48" s="76" t="s">
        <v>118</v>
      </c>
      <c r="AO48" s="112">
        <v>20</v>
      </c>
      <c r="AP48" s="113">
        <v>103.44</v>
      </c>
      <c r="AQ48" s="113">
        <v>127.5</v>
      </c>
      <c r="AR48" s="113">
        <v>155.78</v>
      </c>
      <c r="AS48" s="113">
        <v>184.05</v>
      </c>
      <c r="AV48" s="76" t="s">
        <v>119</v>
      </c>
      <c r="AW48" s="112">
        <v>20</v>
      </c>
      <c r="AX48" s="113">
        <v>11.696999999999999</v>
      </c>
      <c r="AY48" s="113">
        <v>14.5915</v>
      </c>
      <c r="AZ48" s="113">
        <v>16.005000000000003</v>
      </c>
      <c r="BA48" s="113">
        <v>21.918500000000002</v>
      </c>
      <c r="BD48" s="76" t="s">
        <v>119</v>
      </c>
      <c r="BE48" s="112">
        <v>20</v>
      </c>
      <c r="BF48" s="113">
        <v>12.4475</v>
      </c>
      <c r="BG48" s="113">
        <v>15.493</v>
      </c>
      <c r="BH48" s="113">
        <v>16.906500000000001</v>
      </c>
      <c r="BI48" s="113">
        <v>18.32</v>
      </c>
    </row>
    <row r="49" spans="1:63" ht="13.8">
      <c r="A49" s="76"/>
      <c r="B49" s="76"/>
      <c r="C49" s="83"/>
      <c r="D49" s="83"/>
      <c r="E49" s="83"/>
      <c r="F49" s="83"/>
      <c r="G49" s="83"/>
      <c r="I49" s="76"/>
      <c r="J49" s="76"/>
      <c r="K49" s="83"/>
      <c r="L49" s="83"/>
      <c r="M49" s="83"/>
      <c r="N49" s="83"/>
      <c r="O49" s="83"/>
      <c r="Q49" s="76"/>
      <c r="R49" s="76"/>
      <c r="S49" s="83"/>
      <c r="T49" s="83"/>
      <c r="U49" s="83"/>
      <c r="V49" s="83"/>
      <c r="W49" s="83"/>
      <c r="Y49" s="76"/>
      <c r="Z49" s="76"/>
      <c r="AA49" s="83"/>
      <c r="AB49" s="83"/>
      <c r="AC49" s="83"/>
      <c r="AD49" s="83"/>
      <c r="AF49" s="76"/>
      <c r="AG49" s="76"/>
      <c r="AH49" s="83"/>
      <c r="AI49" s="83"/>
      <c r="AJ49" s="83"/>
      <c r="AK49" s="83"/>
      <c r="AL49" s="83"/>
      <c r="AN49" s="76"/>
      <c r="AO49" s="76"/>
      <c r="AP49" s="83"/>
      <c r="AQ49" s="83"/>
      <c r="AR49" s="83"/>
      <c r="AS49" s="83"/>
      <c r="AT49" s="83"/>
      <c r="AV49" s="76"/>
      <c r="AW49" s="76"/>
      <c r="AX49" s="83"/>
      <c r="AY49" s="83"/>
      <c r="AZ49" s="83"/>
      <c r="BA49" s="83"/>
      <c r="BD49" s="76"/>
      <c r="BE49" s="76"/>
      <c r="BF49" s="83"/>
      <c r="BG49" s="83"/>
      <c r="BH49" s="83"/>
      <c r="BI49" s="83"/>
      <c r="BJ49" s="83"/>
      <c r="BK49" s="83"/>
    </row>
    <row r="50" spans="1:63" ht="13.8">
      <c r="A50" s="76"/>
      <c r="B50" s="76"/>
      <c r="C50" s="83"/>
      <c r="D50" s="83"/>
      <c r="E50" s="83"/>
      <c r="F50" s="83"/>
      <c r="G50" s="83"/>
      <c r="I50" s="76"/>
      <c r="J50" s="76"/>
      <c r="K50" s="83"/>
      <c r="L50" s="83"/>
      <c r="M50" s="83"/>
      <c r="N50" s="83"/>
      <c r="O50" s="83"/>
      <c r="Q50" s="76"/>
      <c r="R50" s="76"/>
      <c r="S50" s="83"/>
      <c r="T50" s="83"/>
      <c r="U50" s="83"/>
      <c r="V50" s="83"/>
      <c r="W50" s="83"/>
      <c r="Y50" s="76"/>
      <c r="Z50" s="76"/>
      <c r="AA50" s="83"/>
      <c r="AB50" s="83"/>
      <c r="AC50" s="83"/>
      <c r="AD50" s="83"/>
      <c r="AF50" s="76"/>
      <c r="AG50" s="76"/>
      <c r="AH50" s="83"/>
      <c r="AI50" s="83"/>
      <c r="AJ50" s="83"/>
      <c r="AK50" s="83"/>
      <c r="AL50" s="83"/>
      <c r="AN50" s="76"/>
      <c r="AO50" s="76"/>
      <c r="AP50" s="83"/>
      <c r="AQ50" s="83"/>
      <c r="AR50" s="83"/>
      <c r="AS50" s="83"/>
      <c r="AT50" s="83"/>
      <c r="AV50" s="76"/>
      <c r="AW50" s="76"/>
      <c r="AX50" s="83"/>
      <c r="AY50" s="83"/>
      <c r="AZ50" s="83"/>
      <c r="BA50" s="83"/>
      <c r="BB50" s="83"/>
      <c r="BD50" s="76"/>
      <c r="BE50" s="76"/>
      <c r="BF50" s="83"/>
      <c r="BG50" s="83"/>
      <c r="BH50" s="83"/>
      <c r="BI50" s="83"/>
      <c r="BJ50" s="83"/>
      <c r="BK50" s="83"/>
    </row>
    <row r="51" spans="1:63" ht="15" customHeight="1" thickBot="1">
      <c r="A51" s="76"/>
      <c r="B51" s="76"/>
      <c r="C51" s="83"/>
      <c r="D51" s="83"/>
      <c r="E51" s="83"/>
      <c r="F51" s="83"/>
      <c r="G51" s="83"/>
      <c r="I51" s="76"/>
      <c r="J51" s="76"/>
      <c r="K51" s="83"/>
      <c r="L51" s="83"/>
      <c r="M51" s="83"/>
      <c r="N51" s="83"/>
      <c r="O51" s="83"/>
      <c r="Q51" s="76"/>
      <c r="R51" s="76"/>
      <c r="S51" s="83"/>
      <c r="T51" s="83"/>
      <c r="U51" s="83"/>
      <c r="V51" s="83"/>
      <c r="W51" s="83"/>
      <c r="Y51" s="76"/>
      <c r="Z51" s="76"/>
      <c r="AA51" s="83"/>
      <c r="AB51" s="83"/>
      <c r="AC51" s="83"/>
      <c r="AD51" s="83"/>
      <c r="AF51" s="76"/>
      <c r="AG51" s="76"/>
      <c r="AH51" s="83"/>
      <c r="AI51" s="83"/>
      <c r="AJ51" s="83"/>
      <c r="AK51" s="83"/>
      <c r="AL51" s="83"/>
      <c r="AN51" s="76"/>
      <c r="AO51" s="76"/>
      <c r="AP51" s="83"/>
      <c r="AQ51" s="83"/>
      <c r="AR51" s="83"/>
      <c r="AS51" s="83"/>
      <c r="AT51" s="83"/>
      <c r="AV51" s="76"/>
      <c r="AW51" s="76"/>
      <c r="AX51" s="83"/>
      <c r="AY51" s="83"/>
      <c r="AZ51" s="83"/>
      <c r="BA51" s="83"/>
      <c r="BB51" s="83"/>
      <c r="BD51" s="76"/>
      <c r="BE51" s="76"/>
      <c r="BF51" s="83"/>
      <c r="BG51" s="83"/>
      <c r="BH51" s="83"/>
      <c r="BI51" s="83"/>
      <c r="BJ51" s="83"/>
      <c r="BK51" s="83"/>
    </row>
    <row r="52" spans="1:63" ht="29.4" thickBot="1">
      <c r="A52" s="76"/>
      <c r="B52" s="84" t="s">
        <v>77</v>
      </c>
      <c r="C52" s="85" t="s">
        <v>93</v>
      </c>
      <c r="D52" s="86"/>
      <c r="E52" s="85" t="s">
        <v>112</v>
      </c>
      <c r="F52" s="87"/>
      <c r="G52" s="83"/>
      <c r="I52" s="76"/>
      <c r="J52" s="84" t="s">
        <v>77</v>
      </c>
      <c r="K52" s="85" t="s">
        <v>94</v>
      </c>
      <c r="L52" s="86"/>
      <c r="M52" s="85" t="s">
        <v>112</v>
      </c>
      <c r="N52" s="87"/>
      <c r="O52" s="83"/>
      <c r="Q52" s="76"/>
      <c r="R52" s="100" t="s">
        <v>77</v>
      </c>
      <c r="S52" s="106" t="s">
        <v>95</v>
      </c>
      <c r="T52" s="107"/>
      <c r="U52" s="99" t="s">
        <v>112</v>
      </c>
      <c r="V52" s="101"/>
      <c r="W52" s="83"/>
      <c r="Y52" s="76"/>
      <c r="Z52" s="100" t="s">
        <v>77</v>
      </c>
      <c r="AA52" s="102" t="s">
        <v>122</v>
      </c>
      <c r="AB52" s="103"/>
      <c r="AC52" s="99" t="s">
        <v>112</v>
      </c>
      <c r="AD52" s="101"/>
      <c r="AF52" s="76"/>
      <c r="AG52" s="116" t="s">
        <v>77</v>
      </c>
      <c r="AH52" s="117" t="s">
        <v>97</v>
      </c>
      <c r="AI52" s="118"/>
      <c r="AJ52" s="117" t="s">
        <v>112</v>
      </c>
      <c r="AK52" s="118"/>
      <c r="AL52" s="83"/>
      <c r="AN52" s="76"/>
      <c r="AO52" s="108" t="s">
        <v>77</v>
      </c>
      <c r="AP52" s="109" t="s">
        <v>92</v>
      </c>
      <c r="AQ52" s="109"/>
      <c r="AR52" s="109" t="s">
        <v>112</v>
      </c>
      <c r="AS52" s="109"/>
      <c r="AT52" s="83"/>
      <c r="AV52" s="76"/>
      <c r="AW52" s="108" t="s">
        <v>77</v>
      </c>
      <c r="AX52" s="109" t="s">
        <v>99</v>
      </c>
      <c r="AY52" s="109"/>
      <c r="AZ52" s="109" t="s">
        <v>112</v>
      </c>
      <c r="BA52" s="109"/>
      <c r="BB52" s="83"/>
      <c r="BD52" s="76"/>
      <c r="BE52" s="108" t="s">
        <v>77</v>
      </c>
      <c r="BF52" s="109" t="s">
        <v>100</v>
      </c>
      <c r="BG52" s="109"/>
      <c r="BH52" s="109" t="s">
        <v>112</v>
      </c>
      <c r="BI52" s="109"/>
      <c r="BJ52" s="115"/>
      <c r="BK52" s="136"/>
    </row>
    <row r="53" spans="1:63" ht="29.4" thickBot="1">
      <c r="A53" s="76"/>
      <c r="B53" s="88"/>
      <c r="C53" s="89" t="s">
        <v>109</v>
      </c>
      <c r="D53" s="89" t="s">
        <v>114</v>
      </c>
      <c r="E53" s="89" t="s">
        <v>115</v>
      </c>
      <c r="F53" s="90" t="s">
        <v>116</v>
      </c>
      <c r="G53" s="83"/>
      <c r="I53" s="76"/>
      <c r="J53" s="88"/>
      <c r="K53" s="89" t="s">
        <v>109</v>
      </c>
      <c r="L53" s="89" t="s">
        <v>114</v>
      </c>
      <c r="M53" s="89" t="s">
        <v>115</v>
      </c>
      <c r="N53" s="90" t="s">
        <v>116</v>
      </c>
      <c r="O53" s="83"/>
      <c r="Q53" s="76"/>
      <c r="R53" s="104"/>
      <c r="S53" s="89" t="s">
        <v>109</v>
      </c>
      <c r="T53" s="89" t="s">
        <v>114</v>
      </c>
      <c r="U53" s="89" t="s">
        <v>115</v>
      </c>
      <c r="V53" s="90" t="s">
        <v>116</v>
      </c>
      <c r="W53" s="83"/>
      <c r="Y53" s="76"/>
      <c r="Z53" s="104"/>
      <c r="AA53" s="89" t="s">
        <v>109</v>
      </c>
      <c r="AB53" s="89" t="s">
        <v>114</v>
      </c>
      <c r="AC53" s="89" t="s">
        <v>115</v>
      </c>
      <c r="AD53" s="90" t="s">
        <v>116</v>
      </c>
      <c r="AF53" s="76"/>
      <c r="AG53" s="119"/>
      <c r="AH53" s="111" t="s">
        <v>109</v>
      </c>
      <c r="AI53" s="111" t="s">
        <v>114</v>
      </c>
      <c r="AJ53" s="111" t="s">
        <v>115</v>
      </c>
      <c r="AK53" s="111" t="s">
        <v>116</v>
      </c>
      <c r="AL53" s="83"/>
      <c r="AN53" s="76"/>
      <c r="AO53" s="108"/>
      <c r="AP53" s="111" t="s">
        <v>109</v>
      </c>
      <c r="AQ53" s="111" t="s">
        <v>114</v>
      </c>
      <c r="AR53" s="111" t="s">
        <v>115</v>
      </c>
      <c r="AS53" s="111" t="s">
        <v>116</v>
      </c>
      <c r="AT53" s="83"/>
      <c r="AV53" s="76"/>
      <c r="AW53" s="108"/>
      <c r="AX53" s="111" t="s">
        <v>109</v>
      </c>
      <c r="AY53" s="111" t="s">
        <v>114</v>
      </c>
      <c r="AZ53" s="111" t="s">
        <v>115</v>
      </c>
      <c r="BA53" s="111" t="s">
        <v>116</v>
      </c>
      <c r="BB53" s="83"/>
      <c r="BD53" s="76"/>
      <c r="BE53" s="108"/>
      <c r="BF53" s="111" t="s">
        <v>109</v>
      </c>
      <c r="BG53" s="111" t="s">
        <v>114</v>
      </c>
      <c r="BH53" s="111" t="s">
        <v>115</v>
      </c>
      <c r="BI53" s="111" t="s">
        <v>116</v>
      </c>
      <c r="BJ53" s="115"/>
      <c r="BK53" s="136"/>
    </row>
    <row r="54" spans="1:63" ht="15" thickBot="1">
      <c r="A54" s="76" t="s">
        <v>120</v>
      </c>
      <c r="B54" s="91">
        <v>1</v>
      </c>
      <c r="C54" s="92">
        <v>9.31</v>
      </c>
      <c r="D54" s="92">
        <v>9.94</v>
      </c>
      <c r="E54" s="92">
        <v>11.35</v>
      </c>
      <c r="F54" s="93">
        <v>12.77</v>
      </c>
      <c r="G54" s="83"/>
      <c r="I54" s="76" t="s">
        <v>120</v>
      </c>
      <c r="J54" s="91">
        <v>1</v>
      </c>
      <c r="K54" s="92">
        <v>9.31</v>
      </c>
      <c r="L54" s="92">
        <v>9.94</v>
      </c>
      <c r="M54" s="92">
        <v>11.35</v>
      </c>
      <c r="N54" s="93">
        <v>12.77</v>
      </c>
      <c r="O54" s="83"/>
      <c r="Q54" s="76" t="s">
        <v>120</v>
      </c>
      <c r="R54" s="91">
        <v>1</v>
      </c>
      <c r="S54" s="92">
        <v>10.47</v>
      </c>
      <c r="T54" s="92">
        <v>11.41</v>
      </c>
      <c r="U54" s="92">
        <v>12.82</v>
      </c>
      <c r="V54" s="93">
        <v>14.24</v>
      </c>
      <c r="W54" s="83"/>
      <c r="Y54" s="76" t="s">
        <v>120</v>
      </c>
      <c r="Z54" s="91">
        <v>1</v>
      </c>
      <c r="AA54" s="92">
        <v>9.31</v>
      </c>
      <c r="AB54" s="92">
        <v>9.94</v>
      </c>
      <c r="AC54" s="92">
        <v>11.35</v>
      </c>
      <c r="AD54" s="93">
        <v>12.77</v>
      </c>
      <c r="AF54" s="76" t="s">
        <v>120</v>
      </c>
      <c r="AG54" s="112">
        <v>1</v>
      </c>
      <c r="AH54" s="111">
        <v>10.26</v>
      </c>
      <c r="AI54" s="111">
        <v>11.1</v>
      </c>
      <c r="AJ54" s="111">
        <v>12.51</v>
      </c>
      <c r="AK54" s="111">
        <v>13.92</v>
      </c>
      <c r="AL54" s="83"/>
      <c r="AN54" s="76" t="s">
        <v>120</v>
      </c>
      <c r="AO54" s="112">
        <v>1</v>
      </c>
      <c r="AP54" s="111">
        <v>10.47</v>
      </c>
      <c r="AQ54" s="111">
        <v>11.41</v>
      </c>
      <c r="AR54" s="111">
        <v>12.82</v>
      </c>
      <c r="AS54" s="111">
        <v>14.24</v>
      </c>
      <c r="AT54" s="83"/>
      <c r="AV54" s="76" t="s">
        <v>120</v>
      </c>
      <c r="AW54" s="112">
        <v>1</v>
      </c>
      <c r="AX54" s="111">
        <v>13.41</v>
      </c>
      <c r="AY54" s="111">
        <v>15.29</v>
      </c>
      <c r="AZ54" s="111">
        <v>16.71</v>
      </c>
      <c r="BA54" s="111">
        <v>18.12</v>
      </c>
      <c r="BB54" s="83"/>
      <c r="BD54" s="76" t="s">
        <v>120</v>
      </c>
      <c r="BE54" s="112">
        <v>1</v>
      </c>
      <c r="BF54" s="111">
        <v>14.66</v>
      </c>
      <c r="BG54" s="111">
        <v>17.18</v>
      </c>
      <c r="BH54" s="111">
        <v>18.59</v>
      </c>
      <c r="BI54" s="111">
        <v>20.010000000000002</v>
      </c>
      <c r="BJ54" s="115"/>
      <c r="BK54" s="136"/>
    </row>
    <row r="55" spans="1:63" ht="15" thickBot="1">
      <c r="A55" s="76" t="s">
        <v>120</v>
      </c>
      <c r="B55" s="91">
        <v>2</v>
      </c>
      <c r="C55" s="94">
        <v>6.04</v>
      </c>
      <c r="D55" s="94">
        <v>6.665</v>
      </c>
      <c r="E55" s="94">
        <v>8.08</v>
      </c>
      <c r="F55" s="95">
        <v>9.4949999999999992</v>
      </c>
      <c r="G55" s="83"/>
      <c r="I55" s="76" t="s">
        <v>120</v>
      </c>
      <c r="J55" s="91">
        <v>2</v>
      </c>
      <c r="K55" s="94">
        <v>5.13</v>
      </c>
      <c r="L55" s="94">
        <v>5.55</v>
      </c>
      <c r="M55" s="94">
        <v>6.2549999999999999</v>
      </c>
      <c r="N55" s="95">
        <v>6.96</v>
      </c>
      <c r="O55" s="83"/>
      <c r="Q55" s="76" t="s">
        <v>120</v>
      </c>
      <c r="R55" s="91">
        <v>2</v>
      </c>
      <c r="S55" s="94">
        <v>7.1950000000000003</v>
      </c>
      <c r="T55" s="94">
        <v>8.1349999999999998</v>
      </c>
      <c r="U55" s="94">
        <v>9.5500000000000007</v>
      </c>
      <c r="V55" s="95">
        <v>10.965</v>
      </c>
      <c r="W55" s="83"/>
      <c r="Y55" s="76" t="s">
        <v>120</v>
      </c>
      <c r="Z55" s="91">
        <v>2</v>
      </c>
      <c r="AA55" s="94">
        <v>6.04</v>
      </c>
      <c r="AB55" s="94">
        <v>6.665</v>
      </c>
      <c r="AC55" s="94">
        <v>8.08</v>
      </c>
      <c r="AD55" s="95">
        <v>9.4949999999999992</v>
      </c>
      <c r="AF55" s="76" t="s">
        <v>120</v>
      </c>
      <c r="AG55" s="112">
        <v>2</v>
      </c>
      <c r="AH55" s="113">
        <v>6.9850000000000003</v>
      </c>
      <c r="AI55" s="113">
        <v>7.8250000000000002</v>
      </c>
      <c r="AJ55" s="113">
        <v>9.2349999999999994</v>
      </c>
      <c r="AK55" s="113">
        <v>10.65</v>
      </c>
      <c r="AL55" s="83"/>
      <c r="AN55" s="76" t="s">
        <v>120</v>
      </c>
      <c r="AO55" s="112">
        <v>2</v>
      </c>
      <c r="AP55" s="113">
        <v>7.1950000000000003</v>
      </c>
      <c r="AQ55" s="113">
        <v>8.1349999999999998</v>
      </c>
      <c r="AR55" s="113">
        <v>9.5500000000000007</v>
      </c>
      <c r="AS55" s="113">
        <v>10.965</v>
      </c>
      <c r="AT55" s="83"/>
      <c r="AV55" s="76" t="s">
        <v>120</v>
      </c>
      <c r="AW55" s="112">
        <v>2</v>
      </c>
      <c r="AX55" s="113">
        <v>10.135</v>
      </c>
      <c r="AY55" s="113">
        <v>12.02</v>
      </c>
      <c r="AZ55" s="113">
        <v>13.435</v>
      </c>
      <c r="BA55" s="113">
        <v>14.85</v>
      </c>
      <c r="BB55" s="83"/>
      <c r="BD55" s="76" t="s">
        <v>120</v>
      </c>
      <c r="BE55" s="112">
        <v>2</v>
      </c>
      <c r="BF55" s="113">
        <v>11.395</v>
      </c>
      <c r="BG55" s="113">
        <v>13.904999999999999</v>
      </c>
      <c r="BH55" s="113">
        <v>15.32</v>
      </c>
      <c r="BI55" s="113">
        <v>16.734999999999999</v>
      </c>
      <c r="BJ55" s="115"/>
      <c r="BK55" s="136"/>
    </row>
    <row r="56" spans="1:63" ht="15" thickBot="1">
      <c r="A56" s="76" t="s">
        <v>120</v>
      </c>
      <c r="B56" s="91">
        <v>4</v>
      </c>
      <c r="C56" s="94">
        <v>4.4024999999999999</v>
      </c>
      <c r="D56" s="94">
        <v>5.03</v>
      </c>
      <c r="E56" s="94">
        <v>6.4450000000000003</v>
      </c>
      <c r="F56" s="95">
        <v>7.8574999999999999</v>
      </c>
      <c r="G56" s="83"/>
      <c r="I56" s="76" t="s">
        <v>120</v>
      </c>
      <c r="J56" s="91">
        <v>4</v>
      </c>
      <c r="K56" s="94">
        <v>3.4925000000000002</v>
      </c>
      <c r="L56" s="94">
        <v>3.9125000000000001</v>
      </c>
      <c r="M56" s="94">
        <v>4.6174999999999997</v>
      </c>
      <c r="N56" s="95">
        <v>5.3250000000000002</v>
      </c>
      <c r="O56" s="83"/>
      <c r="Q56" s="76" t="s">
        <v>120</v>
      </c>
      <c r="R56" s="91">
        <v>4</v>
      </c>
      <c r="S56" s="94">
        <v>5.56</v>
      </c>
      <c r="T56" s="94">
        <v>6.5025000000000004</v>
      </c>
      <c r="U56" s="94">
        <v>7.915</v>
      </c>
      <c r="V56" s="95">
        <v>9.3275000000000006</v>
      </c>
      <c r="W56" s="83"/>
      <c r="Y56" s="76" t="s">
        <v>120</v>
      </c>
      <c r="Z56" s="91">
        <v>4</v>
      </c>
      <c r="AA56" s="94">
        <v>4.4024999999999999</v>
      </c>
      <c r="AB56" s="94">
        <v>5.03</v>
      </c>
      <c r="AC56" s="94">
        <v>6.4450000000000003</v>
      </c>
      <c r="AD56" s="95">
        <v>7.8574999999999999</v>
      </c>
      <c r="AF56" s="76" t="s">
        <v>120</v>
      </c>
      <c r="AG56" s="112">
        <v>4</v>
      </c>
      <c r="AH56" s="113">
        <v>5.085</v>
      </c>
      <c r="AI56" s="113">
        <v>5.9225000000000003</v>
      </c>
      <c r="AJ56" s="113">
        <v>7.3375000000000004</v>
      </c>
      <c r="AK56" s="113">
        <v>8.75</v>
      </c>
      <c r="AL56" s="83"/>
      <c r="AN56" s="76" t="s">
        <v>120</v>
      </c>
      <c r="AO56" s="112">
        <v>4</v>
      </c>
      <c r="AP56" s="113">
        <v>5.56</v>
      </c>
      <c r="AQ56" s="113">
        <v>6.5025000000000004</v>
      </c>
      <c r="AR56" s="113">
        <v>7.915</v>
      </c>
      <c r="AS56" s="113">
        <v>9.3275000000000006</v>
      </c>
      <c r="AT56" s="83"/>
      <c r="AV56" s="76" t="s">
        <v>120</v>
      </c>
      <c r="AW56" s="112">
        <v>4</v>
      </c>
      <c r="AX56" s="113">
        <v>8.5</v>
      </c>
      <c r="AY56" s="113">
        <v>10.385</v>
      </c>
      <c r="AZ56" s="113">
        <v>11.797499999999999</v>
      </c>
      <c r="BA56" s="113">
        <v>13.2125</v>
      </c>
      <c r="BB56" s="83"/>
      <c r="BD56" s="76" t="s">
        <v>120</v>
      </c>
      <c r="BE56" s="112">
        <v>4</v>
      </c>
      <c r="BF56" s="113">
        <v>9.7575000000000003</v>
      </c>
      <c r="BG56" s="113">
        <v>12.27</v>
      </c>
      <c r="BH56" s="113">
        <v>13.682499999999999</v>
      </c>
      <c r="BI56" s="113">
        <v>15.0975</v>
      </c>
      <c r="BJ56" s="115"/>
      <c r="BK56" s="136"/>
    </row>
    <row r="57" spans="1:63" ht="15" thickBot="1">
      <c r="A57" s="76" t="s">
        <v>120</v>
      </c>
      <c r="B57" s="91">
        <v>8</v>
      </c>
      <c r="C57" s="94">
        <v>3.585</v>
      </c>
      <c r="D57" s="94">
        <v>4.2125000000000004</v>
      </c>
      <c r="E57" s="94">
        <v>5.6262499999999998</v>
      </c>
      <c r="F57" s="95">
        <v>7.04</v>
      </c>
      <c r="G57" s="83"/>
      <c r="I57" s="76" t="s">
        <v>120</v>
      </c>
      <c r="J57" s="91">
        <v>8</v>
      </c>
      <c r="K57" s="94">
        <v>4.53125</v>
      </c>
      <c r="L57" s="94">
        <v>5.3687500000000004</v>
      </c>
      <c r="M57" s="94">
        <v>6.7824999999999998</v>
      </c>
      <c r="N57" s="95">
        <v>8.1962499999999991</v>
      </c>
      <c r="O57" s="83"/>
      <c r="Q57" s="76" t="s">
        <v>120</v>
      </c>
      <c r="R57" s="91">
        <v>8</v>
      </c>
      <c r="S57" s="94">
        <v>4.74125</v>
      </c>
      <c r="T57" s="94">
        <v>5.6837499999999999</v>
      </c>
      <c r="U57" s="94">
        <v>7.0975000000000001</v>
      </c>
      <c r="V57" s="95">
        <v>8.51</v>
      </c>
      <c r="W57" s="83"/>
      <c r="Y57" s="76" t="s">
        <v>120</v>
      </c>
      <c r="Z57" s="91">
        <v>8</v>
      </c>
      <c r="AA57" s="94">
        <v>3.585</v>
      </c>
      <c r="AB57" s="94">
        <v>4.2125000000000004</v>
      </c>
      <c r="AC57" s="94">
        <v>5.6262499999999998</v>
      </c>
      <c r="AD57" s="95">
        <v>7.04</v>
      </c>
      <c r="AF57" s="76" t="s">
        <v>120</v>
      </c>
      <c r="AG57" s="112">
        <v>8</v>
      </c>
      <c r="AH57" s="113">
        <v>4.2675000000000001</v>
      </c>
      <c r="AI57" s="113">
        <v>5.1050000000000004</v>
      </c>
      <c r="AJ57" s="113">
        <v>6.5187499999999998</v>
      </c>
      <c r="AK57" s="113">
        <v>7.9325000000000001</v>
      </c>
      <c r="AL57" s="83"/>
      <c r="AN57" s="76" t="s">
        <v>120</v>
      </c>
      <c r="AO57" s="112">
        <v>8</v>
      </c>
      <c r="AP57" s="113">
        <v>4.74125</v>
      </c>
      <c r="AQ57" s="113">
        <v>5.6837499999999999</v>
      </c>
      <c r="AR57" s="113">
        <v>7.0975000000000001</v>
      </c>
      <c r="AS57" s="113">
        <v>8.51</v>
      </c>
      <c r="AT57" s="83"/>
      <c r="AV57" s="76" t="s">
        <v>120</v>
      </c>
      <c r="AW57" s="112">
        <v>8</v>
      </c>
      <c r="AX57" s="113">
        <v>7.4974999999999996</v>
      </c>
      <c r="AY57" s="113">
        <v>9.3237500000000004</v>
      </c>
      <c r="AZ57" s="113">
        <v>10.737500000000001</v>
      </c>
      <c r="BA57" s="113">
        <v>12.151249999999999</v>
      </c>
      <c r="BB57" s="83"/>
      <c r="BD57" s="76" t="s">
        <v>120</v>
      </c>
      <c r="BE57" s="112">
        <v>8</v>
      </c>
      <c r="BF57" s="113">
        <v>8.7149999999999999</v>
      </c>
      <c r="BG57" s="113">
        <v>11.15</v>
      </c>
      <c r="BH57" s="113">
        <v>12.563750000000001</v>
      </c>
      <c r="BI57" s="113">
        <v>13.977499999999999</v>
      </c>
      <c r="BJ57" s="115"/>
      <c r="BK57" s="136"/>
    </row>
    <row r="58" spans="1:63" ht="15" thickBot="1">
      <c r="A58" s="76" t="s">
        <v>120</v>
      </c>
      <c r="B58" s="91">
        <v>10</v>
      </c>
      <c r="C58" s="94">
        <v>3.4210000000000003</v>
      </c>
      <c r="D58" s="94">
        <v>4.0490000000000004</v>
      </c>
      <c r="E58" s="94">
        <v>5.4630000000000001</v>
      </c>
      <c r="F58" s="95">
        <v>6.8760000000000003</v>
      </c>
      <c r="G58" s="83"/>
      <c r="I58" s="76" t="s">
        <v>120</v>
      </c>
      <c r="J58" s="91">
        <v>10</v>
      </c>
      <c r="K58" s="94">
        <v>4.335</v>
      </c>
      <c r="L58" s="94">
        <v>5.173</v>
      </c>
      <c r="M58" s="94">
        <v>6.5860000000000003</v>
      </c>
      <c r="N58" s="95">
        <v>8</v>
      </c>
      <c r="O58" s="83"/>
      <c r="Q58" s="76" t="s">
        <v>120</v>
      </c>
      <c r="R58" s="91">
        <v>10</v>
      </c>
      <c r="S58" s="94">
        <v>4.5439999999999996</v>
      </c>
      <c r="T58" s="94">
        <v>5.4870000000000001</v>
      </c>
      <c r="U58" s="94">
        <v>6.9</v>
      </c>
      <c r="V58" s="95">
        <v>8.3140000000000001</v>
      </c>
      <c r="W58" s="83"/>
      <c r="Y58" s="76" t="s">
        <v>120</v>
      </c>
      <c r="Z58" s="91">
        <v>10</v>
      </c>
      <c r="AA58" s="94">
        <v>3.4210000000000003</v>
      </c>
      <c r="AB58" s="94">
        <v>4.0490000000000004</v>
      </c>
      <c r="AC58" s="94">
        <v>5.4630000000000001</v>
      </c>
      <c r="AD58" s="95">
        <v>6.8760000000000003</v>
      </c>
      <c r="AF58" s="76" t="s">
        <v>120</v>
      </c>
      <c r="AG58" s="112">
        <v>10</v>
      </c>
      <c r="AH58" s="113">
        <v>4.0510000000000002</v>
      </c>
      <c r="AI58" s="113">
        <v>4.8890000000000002</v>
      </c>
      <c r="AJ58" s="113">
        <v>6.3020000000000005</v>
      </c>
      <c r="AK58" s="113">
        <v>7.7159999999999993</v>
      </c>
      <c r="AL58" s="83"/>
      <c r="AN58" s="76" t="s">
        <v>120</v>
      </c>
      <c r="AO58" s="112">
        <v>10</v>
      </c>
      <c r="AP58" s="113">
        <v>4.5439999999999996</v>
      </c>
      <c r="AQ58" s="113">
        <v>5.4870000000000001</v>
      </c>
      <c r="AR58" s="113">
        <v>6.9</v>
      </c>
      <c r="AS58" s="113">
        <v>8.3140000000000001</v>
      </c>
      <c r="AT58" s="83"/>
      <c r="AV58" s="76" t="s">
        <v>120</v>
      </c>
      <c r="AW58" s="112">
        <v>10</v>
      </c>
      <c r="AX58" s="113">
        <v>7.2690000000000001</v>
      </c>
      <c r="AY58" s="113">
        <v>9.0939999999999994</v>
      </c>
      <c r="AZ58" s="113">
        <v>10.507999999999999</v>
      </c>
      <c r="BA58" s="113">
        <v>11.922000000000001</v>
      </c>
      <c r="BB58" s="83"/>
      <c r="BD58" s="76" t="s">
        <v>120</v>
      </c>
      <c r="BE58" s="112">
        <v>10</v>
      </c>
      <c r="BF58" s="113">
        <v>8.3290000000000006</v>
      </c>
      <c r="BG58" s="113">
        <v>10.684999999999999</v>
      </c>
      <c r="BH58" s="113">
        <v>12.098000000000001</v>
      </c>
      <c r="BI58" s="113">
        <v>13.512</v>
      </c>
      <c r="BJ58" s="115"/>
      <c r="BK58" s="136"/>
    </row>
    <row r="59" spans="1:63" ht="15" thickBot="1">
      <c r="A59" s="76" t="s">
        <v>120</v>
      </c>
      <c r="B59" s="91">
        <v>16</v>
      </c>
      <c r="C59" s="94">
        <v>3.1756250000000001</v>
      </c>
      <c r="D59" s="94">
        <v>3.80375</v>
      </c>
      <c r="E59" s="94">
        <v>5.2175000000000002</v>
      </c>
      <c r="F59" s="95">
        <v>6.6306250000000002</v>
      </c>
      <c r="G59" s="83"/>
      <c r="I59" s="76" t="s">
        <v>120</v>
      </c>
      <c r="J59" s="91">
        <v>16</v>
      </c>
      <c r="K59" s="94">
        <v>4.0368750000000002</v>
      </c>
      <c r="L59" s="94">
        <v>4.8487499999999999</v>
      </c>
      <c r="M59" s="94">
        <v>6.2618749999999999</v>
      </c>
      <c r="N59" s="95">
        <v>7.6756250000000001</v>
      </c>
      <c r="O59" s="83"/>
      <c r="Q59" s="76" t="s">
        <v>120</v>
      </c>
      <c r="R59" s="91">
        <v>16</v>
      </c>
      <c r="S59" s="94">
        <v>4.24</v>
      </c>
      <c r="T59" s="94">
        <v>5.1531250000000002</v>
      </c>
      <c r="U59" s="94">
        <v>6.5662500000000001</v>
      </c>
      <c r="V59" s="95">
        <v>7.98</v>
      </c>
      <c r="W59" s="83"/>
      <c r="Y59" s="76" t="s">
        <v>120</v>
      </c>
      <c r="Z59" s="91">
        <v>16</v>
      </c>
      <c r="AA59" s="94">
        <v>3.1756250000000001</v>
      </c>
      <c r="AB59" s="94">
        <v>3.80375</v>
      </c>
      <c r="AC59" s="94">
        <v>5.2175000000000002</v>
      </c>
      <c r="AD59" s="95">
        <v>6.6306250000000002</v>
      </c>
      <c r="AF59" s="76" t="s">
        <v>120</v>
      </c>
      <c r="AG59" s="112">
        <v>16</v>
      </c>
      <c r="AH59" s="113">
        <v>3.7174999999999998</v>
      </c>
      <c r="AI59" s="113">
        <v>4.5287499999999996</v>
      </c>
      <c r="AJ59" s="113">
        <v>5.1306250000000002</v>
      </c>
      <c r="AK59" s="113">
        <v>6.5443749999999996</v>
      </c>
      <c r="AL59" s="83"/>
      <c r="AN59" s="76" t="s">
        <v>120</v>
      </c>
      <c r="AO59" s="112">
        <v>16</v>
      </c>
      <c r="AP59" s="113">
        <v>4.24</v>
      </c>
      <c r="AQ59" s="113">
        <v>5.1531250000000002</v>
      </c>
      <c r="AR59" s="113">
        <v>6.6</v>
      </c>
      <c r="AS59" s="113">
        <v>7.98</v>
      </c>
      <c r="AT59" s="83"/>
      <c r="AV59" s="76" t="s">
        <v>120</v>
      </c>
      <c r="AW59" s="112">
        <v>16</v>
      </c>
      <c r="AX59" s="113">
        <v>6.9050000000000002</v>
      </c>
      <c r="AY59" s="113">
        <v>8.6724999999999994</v>
      </c>
      <c r="AZ59" s="113">
        <v>10.085625</v>
      </c>
      <c r="BA59" s="113">
        <v>11.499375000000001</v>
      </c>
      <c r="BB59" s="83"/>
      <c r="BD59" s="76" t="s">
        <v>120</v>
      </c>
      <c r="BE59" s="112">
        <v>16</v>
      </c>
      <c r="BF59" s="113">
        <v>8.0831250000000008</v>
      </c>
      <c r="BG59" s="113">
        <v>10.439375</v>
      </c>
      <c r="BH59" s="113">
        <v>11.853125</v>
      </c>
      <c r="BI59" s="113">
        <v>13.290625</v>
      </c>
      <c r="BJ59" s="115"/>
      <c r="BK59" s="136"/>
    </row>
    <row r="60" spans="1:63" ht="15" thickBot="1">
      <c r="A60" s="76" t="s">
        <v>120</v>
      </c>
      <c r="B60" s="91">
        <v>20</v>
      </c>
      <c r="C60" s="94">
        <v>3.0379999999999998</v>
      </c>
      <c r="D60" s="94">
        <v>3.6465000000000005</v>
      </c>
      <c r="E60" s="94">
        <v>5.0600000000000005</v>
      </c>
      <c r="F60" s="95">
        <v>6.4734999999999996</v>
      </c>
      <c r="G60" s="83"/>
      <c r="I60" s="76" t="s">
        <v>120</v>
      </c>
      <c r="J60" s="91">
        <v>20</v>
      </c>
      <c r="K60" s="94">
        <v>3.9219999999999997</v>
      </c>
      <c r="L60" s="94">
        <v>4.7335000000000003</v>
      </c>
      <c r="M60" s="94">
        <v>6.1475</v>
      </c>
      <c r="N60" s="95">
        <v>7.5609999999999999</v>
      </c>
      <c r="O60" s="83"/>
      <c r="Q60" s="76" t="s">
        <v>120</v>
      </c>
      <c r="R60" s="91">
        <v>20</v>
      </c>
      <c r="S60" s="94">
        <v>4.125</v>
      </c>
      <c r="T60" s="94">
        <v>5.0380000000000003</v>
      </c>
      <c r="U60" s="94">
        <v>6.4515000000000002</v>
      </c>
      <c r="V60" s="95">
        <v>7.8654999999999999</v>
      </c>
      <c r="W60" s="83"/>
      <c r="Y60" s="76" t="s">
        <v>120</v>
      </c>
      <c r="Z60" s="91">
        <v>20</v>
      </c>
      <c r="AA60" s="94">
        <v>3.0379999999999998</v>
      </c>
      <c r="AB60" s="94">
        <v>3.6465000000000005</v>
      </c>
      <c r="AC60" s="94">
        <v>5.0600000000000005</v>
      </c>
      <c r="AD60" s="95">
        <v>6.4734999999999996</v>
      </c>
      <c r="AF60" s="76" t="s">
        <v>120</v>
      </c>
      <c r="AG60" s="112">
        <v>20</v>
      </c>
      <c r="AH60" s="113">
        <v>3.6479999999999997</v>
      </c>
      <c r="AI60" s="113">
        <v>4.4595000000000002</v>
      </c>
      <c r="AJ60" s="113">
        <v>5.8734999999999999</v>
      </c>
      <c r="AK60" s="113">
        <v>7.2870000000000008</v>
      </c>
      <c r="AL60" s="83"/>
      <c r="AN60" s="76" t="s">
        <v>120</v>
      </c>
      <c r="AO60" s="112">
        <v>20</v>
      </c>
      <c r="AP60" s="113">
        <v>4.125</v>
      </c>
      <c r="AQ60" s="113">
        <v>5.0380000000000003</v>
      </c>
      <c r="AR60" s="113">
        <v>6.4515000000000002</v>
      </c>
      <c r="AS60" s="113">
        <v>7.8654999999999999</v>
      </c>
      <c r="AT60" s="83"/>
      <c r="AV60" s="76" t="s">
        <v>120</v>
      </c>
      <c r="AW60" s="112">
        <v>20</v>
      </c>
      <c r="AX60" s="113">
        <v>6.8235000000000001</v>
      </c>
      <c r="AY60" s="113">
        <v>8.5905000000000005</v>
      </c>
      <c r="AZ60" s="113">
        <v>10.004000000000001</v>
      </c>
      <c r="BA60" s="113">
        <v>11.4175</v>
      </c>
      <c r="BB60" s="83"/>
      <c r="BD60" s="76" t="s">
        <v>120</v>
      </c>
      <c r="BE60" s="112">
        <v>20</v>
      </c>
      <c r="BF60" s="113">
        <v>8.0015000000000001</v>
      </c>
      <c r="BG60" s="113">
        <v>10.3575</v>
      </c>
      <c r="BH60" s="113">
        <v>11.770999999999999</v>
      </c>
      <c r="BI60" s="113">
        <v>13.1845</v>
      </c>
      <c r="BJ60" s="115"/>
      <c r="BK60" s="136"/>
    </row>
    <row r="61" spans="1:63" ht="15" thickBot="1">
      <c r="A61" s="76" t="s">
        <v>120</v>
      </c>
      <c r="B61" s="91">
        <v>30</v>
      </c>
      <c r="C61" s="94">
        <v>2.9226666666666667</v>
      </c>
      <c r="D61" s="94">
        <v>3.5373333333333337</v>
      </c>
      <c r="E61" s="94">
        <v>4.9509999999999996</v>
      </c>
      <c r="F61" s="95">
        <v>6.3646666666666665</v>
      </c>
      <c r="G61" s="83"/>
      <c r="I61" s="76" t="s">
        <v>120</v>
      </c>
      <c r="J61" s="91">
        <v>30</v>
      </c>
      <c r="K61" s="94">
        <v>3.7606666666666664</v>
      </c>
      <c r="L61" s="94">
        <v>4.5460000000000003</v>
      </c>
      <c r="M61" s="94">
        <v>5.9596666666666662</v>
      </c>
      <c r="N61" s="95">
        <v>7.3733333333333331</v>
      </c>
      <c r="O61" s="83"/>
      <c r="Q61" s="76" t="s">
        <v>120</v>
      </c>
      <c r="R61" s="91">
        <v>30</v>
      </c>
      <c r="S61" s="94">
        <v>3.9569999999999999</v>
      </c>
      <c r="T61" s="94">
        <v>4.8406666666666665</v>
      </c>
      <c r="U61" s="94">
        <v>6.2543333333333333</v>
      </c>
      <c r="V61" s="95">
        <v>7.6676666666666664</v>
      </c>
      <c r="W61" s="83"/>
      <c r="Y61" s="76" t="s">
        <v>120</v>
      </c>
      <c r="Z61" s="91">
        <v>30</v>
      </c>
      <c r="AA61" s="94">
        <v>2.9226666666666667</v>
      </c>
      <c r="AB61" s="94">
        <v>3.5373333333333337</v>
      </c>
      <c r="AC61" s="94">
        <v>4.9509999999999996</v>
      </c>
      <c r="AD61" s="95">
        <v>6.3646666666666665</v>
      </c>
      <c r="AF61" s="76" t="s">
        <v>120</v>
      </c>
      <c r="AG61" s="112">
        <v>30</v>
      </c>
      <c r="AH61" s="113">
        <v>3.4306666666666668</v>
      </c>
      <c r="AI61" s="113">
        <v>4.2160000000000002</v>
      </c>
      <c r="AJ61" s="113">
        <v>5.6296666666666662</v>
      </c>
      <c r="AK61" s="113">
        <v>7.0433333333333339</v>
      </c>
      <c r="AL61" s="83"/>
      <c r="AN61" s="76" t="s">
        <v>120</v>
      </c>
      <c r="AO61" s="112">
        <v>30</v>
      </c>
      <c r="AP61" s="113">
        <v>3.9569999999999999</v>
      </c>
      <c r="AQ61" s="113">
        <v>4.8406666666666665</v>
      </c>
      <c r="AR61" s="113">
        <v>6.2543333333333333</v>
      </c>
      <c r="AS61" s="113">
        <v>7.6676666666666664</v>
      </c>
      <c r="AT61" s="83"/>
      <c r="AV61" s="76" t="s">
        <v>120</v>
      </c>
      <c r="AW61" s="112">
        <v>30</v>
      </c>
      <c r="AX61" s="113">
        <v>6.6483333333333325</v>
      </c>
      <c r="AY61" s="113">
        <v>8.4153333333333329</v>
      </c>
      <c r="AZ61" s="113">
        <v>9.8290000000000006</v>
      </c>
      <c r="BA61" s="113">
        <v>11.242666666666667</v>
      </c>
      <c r="BB61" s="83"/>
      <c r="BD61" s="76" t="s">
        <v>120</v>
      </c>
      <c r="BE61" s="112">
        <v>30</v>
      </c>
      <c r="BF61" s="113">
        <v>7.6693333333333333</v>
      </c>
      <c r="BG61" s="113">
        <v>9.9466666666666654</v>
      </c>
      <c r="BH61" s="113">
        <v>11.360333333333333</v>
      </c>
      <c r="BI61" s="113">
        <v>12.774000000000001</v>
      </c>
      <c r="BJ61" s="115"/>
      <c r="BK61" s="136"/>
    </row>
    <row r="62" spans="1:63" ht="15" thickBot="1">
      <c r="A62" s="76" t="s">
        <v>120</v>
      </c>
      <c r="B62" s="96">
        <v>50</v>
      </c>
      <c r="C62" s="97">
        <v>2.7856000000000001</v>
      </c>
      <c r="D62" s="97">
        <v>3.3745999999999996</v>
      </c>
      <c r="E62" s="97">
        <v>4.7881999999999998</v>
      </c>
      <c r="F62" s="98">
        <v>6.2020000000000008</v>
      </c>
      <c r="G62" s="83"/>
      <c r="I62" s="76" t="s">
        <v>120</v>
      </c>
      <c r="J62" s="96">
        <v>50</v>
      </c>
      <c r="K62" s="97">
        <v>3.6406000000000001</v>
      </c>
      <c r="L62" s="97">
        <v>4.4257999999999997</v>
      </c>
      <c r="M62" s="97">
        <v>5.8394000000000004</v>
      </c>
      <c r="N62" s="98">
        <v>7.2529999999999992</v>
      </c>
      <c r="O62" s="83"/>
      <c r="Q62" s="76" t="s">
        <v>120</v>
      </c>
      <c r="R62" s="96">
        <v>50</v>
      </c>
      <c r="S62" s="97">
        <v>3.8368000000000002</v>
      </c>
      <c r="T62" s="97">
        <v>4.7202000000000002</v>
      </c>
      <c r="U62" s="97">
        <v>6.1346000000000007</v>
      </c>
      <c r="V62" s="98">
        <v>7.5476000000000001</v>
      </c>
      <c r="W62" s="83"/>
      <c r="Y62" s="76" t="s">
        <v>120</v>
      </c>
      <c r="Z62" s="96">
        <v>50</v>
      </c>
      <c r="AA62" s="97">
        <v>2.7856000000000001</v>
      </c>
      <c r="AB62" s="97">
        <v>3.3745999999999996</v>
      </c>
      <c r="AC62" s="97">
        <v>4.7881999999999998</v>
      </c>
      <c r="AD62" s="98">
        <v>6.2020000000000008</v>
      </c>
      <c r="AF62" s="76" t="s">
        <v>120</v>
      </c>
      <c r="AG62" s="112">
        <v>50</v>
      </c>
      <c r="AH62" s="113">
        <v>3.3566000000000003</v>
      </c>
      <c r="AI62" s="113">
        <v>4.1419999999999995</v>
      </c>
      <c r="AJ62" s="113">
        <v>5.5555999999999992</v>
      </c>
      <c r="AK62" s="113">
        <v>6.9691999999999998</v>
      </c>
      <c r="AL62" s="83"/>
      <c r="AN62" s="76" t="s">
        <v>120</v>
      </c>
      <c r="AO62" s="112">
        <v>50</v>
      </c>
      <c r="AP62" s="113">
        <v>3.8368000000000002</v>
      </c>
      <c r="AQ62" s="113">
        <v>4.7202000000000002</v>
      </c>
      <c r="AR62" s="113">
        <v>6.1339999999999995</v>
      </c>
      <c r="AS62" s="113">
        <v>7.5415999999999999</v>
      </c>
      <c r="AT62" s="83"/>
      <c r="AV62" s="76" t="s">
        <v>120</v>
      </c>
      <c r="AW62" s="112">
        <v>50</v>
      </c>
      <c r="AX62" s="113"/>
      <c r="AY62" s="113"/>
      <c r="AZ62" s="113"/>
      <c r="BA62" s="113"/>
      <c r="BB62" s="83"/>
      <c r="BD62" s="76" t="s">
        <v>120</v>
      </c>
      <c r="BE62" s="112">
        <v>50</v>
      </c>
      <c r="BF62" s="113">
        <v>7.359</v>
      </c>
      <c r="BG62" s="113">
        <v>8.9716000000000005</v>
      </c>
      <c r="BH62" s="113">
        <v>10.385</v>
      </c>
      <c r="BI62" s="113">
        <v>11.798800000000002</v>
      </c>
      <c r="BJ62" s="115"/>
      <c r="BK62" s="136"/>
    </row>
    <row r="63" spans="1:63">
      <c r="I63"/>
      <c r="K63" s="75"/>
      <c r="L63" s="75"/>
      <c r="M63" s="75"/>
      <c r="N63" s="75"/>
      <c r="O63" s="75"/>
      <c r="AA63" s="75"/>
      <c r="AB63" s="75"/>
      <c r="AC63" s="75"/>
      <c r="AD63" s="75"/>
      <c r="AP63" s="75"/>
      <c r="AQ63" s="75"/>
      <c r="AR63" s="75"/>
      <c r="AS63" s="75"/>
      <c r="AT63" s="75"/>
    </row>
    <row r="64" spans="1:63">
      <c r="S64" s="75"/>
      <c r="T64" s="75"/>
      <c r="U64" s="75"/>
      <c r="V64" s="75"/>
      <c r="W64" s="75"/>
    </row>
  </sheetData>
  <mergeCells count="103">
    <mergeCell ref="BL2:BL3"/>
    <mergeCell ref="BY2:BZ2"/>
    <mergeCell ref="CA2:CB2"/>
    <mergeCell ref="CC2:CD2"/>
    <mergeCell ref="CE2:CF2"/>
    <mergeCell ref="CG2:CH2"/>
    <mergeCell ref="CI2:CJ2"/>
    <mergeCell ref="BM2:BN2"/>
    <mergeCell ref="BO2:BP2"/>
    <mergeCell ref="BQ2:BR2"/>
    <mergeCell ref="BS2:BT2"/>
    <mergeCell ref="BU2:BV2"/>
    <mergeCell ref="BW2:BX2"/>
    <mergeCell ref="BF27:BG27"/>
    <mergeCell ref="BH27:BI27"/>
    <mergeCell ref="BE40:BE41"/>
    <mergeCell ref="BF40:BG40"/>
    <mergeCell ref="BH40:BI40"/>
    <mergeCell ref="BE52:BE53"/>
    <mergeCell ref="BF52:BG52"/>
    <mergeCell ref="BH52:BI52"/>
    <mergeCell ref="AW52:AW53"/>
    <mergeCell ref="AX52:AY52"/>
    <mergeCell ref="AZ52:BA52"/>
    <mergeCell ref="BE2:BE3"/>
    <mergeCell ref="BF2:BG2"/>
    <mergeCell ref="BH2:BI2"/>
    <mergeCell ref="BE15:BE16"/>
    <mergeCell ref="BF15:BG15"/>
    <mergeCell ref="BH15:BI15"/>
    <mergeCell ref="BE27:BE28"/>
    <mergeCell ref="AW27:AW28"/>
    <mergeCell ref="AX27:AY27"/>
    <mergeCell ref="AZ27:BA27"/>
    <mergeCell ref="AW40:AW41"/>
    <mergeCell ref="AX40:AY40"/>
    <mergeCell ref="AZ40:BA40"/>
    <mergeCell ref="AW2:AW3"/>
    <mergeCell ref="AX2:AY2"/>
    <mergeCell ref="AZ2:BA2"/>
    <mergeCell ref="AW15:AW16"/>
    <mergeCell ref="AX15:AY15"/>
    <mergeCell ref="AZ15:BA15"/>
    <mergeCell ref="AP27:AQ27"/>
    <mergeCell ref="AR27:AS27"/>
    <mergeCell ref="AO40:AO41"/>
    <mergeCell ref="AP40:AQ40"/>
    <mergeCell ref="AR40:AS40"/>
    <mergeCell ref="AO52:AO53"/>
    <mergeCell ref="AP52:AQ52"/>
    <mergeCell ref="AR52:AS52"/>
    <mergeCell ref="AG52:AG53"/>
    <mergeCell ref="AH52:AI52"/>
    <mergeCell ref="AJ52:AK52"/>
    <mergeCell ref="AO2:AO3"/>
    <mergeCell ref="AP2:AQ2"/>
    <mergeCell ref="AR2:AS2"/>
    <mergeCell ref="AO15:AO16"/>
    <mergeCell ref="AP15:AQ15"/>
    <mergeCell ref="AR15:AS15"/>
    <mergeCell ref="AO27:AO28"/>
    <mergeCell ref="AG27:AG28"/>
    <mergeCell ref="AH27:AI27"/>
    <mergeCell ref="AJ27:AK27"/>
    <mergeCell ref="AG40:AG41"/>
    <mergeCell ref="AH40:AI40"/>
    <mergeCell ref="AJ40:AK40"/>
    <mergeCell ref="AG2:AG3"/>
    <mergeCell ref="AH2:AI2"/>
    <mergeCell ref="AJ2:AK2"/>
    <mergeCell ref="AG15:AG16"/>
    <mergeCell ref="AH15:AI15"/>
    <mergeCell ref="AJ15:AK15"/>
    <mergeCell ref="M27:N27"/>
    <mergeCell ref="J40:J41"/>
    <mergeCell ref="K40:L40"/>
    <mergeCell ref="M40:N40"/>
    <mergeCell ref="J52:J53"/>
    <mergeCell ref="K52:L52"/>
    <mergeCell ref="M52:N52"/>
    <mergeCell ref="J2:J3"/>
    <mergeCell ref="K2:L2"/>
    <mergeCell ref="M2:N2"/>
    <mergeCell ref="J15:J16"/>
    <mergeCell ref="K15:L15"/>
    <mergeCell ref="M15:N15"/>
    <mergeCell ref="J27:J28"/>
    <mergeCell ref="K27:L27"/>
    <mergeCell ref="B52:B53"/>
    <mergeCell ref="C52:D52"/>
    <mergeCell ref="E52:F52"/>
    <mergeCell ref="B27:B28"/>
    <mergeCell ref="C27:D27"/>
    <mergeCell ref="E27:F27"/>
    <mergeCell ref="B40:B41"/>
    <mergeCell ref="C40:D40"/>
    <mergeCell ref="E40:F40"/>
    <mergeCell ref="B2:B3"/>
    <mergeCell ref="C2:D2"/>
    <mergeCell ref="E2:F2"/>
    <mergeCell ref="B15:B16"/>
    <mergeCell ref="C15:D15"/>
    <mergeCell ref="E15:F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Info</vt:lpstr>
      <vt:lpstr>Brochure</vt:lpstr>
      <vt:lpstr>Flyer</vt:lpstr>
      <vt:lpstr>Business card</vt:lpstr>
      <vt:lpstr>Booklets</vt:lpstr>
      <vt:lpstr>NCR Forms2</vt:lpstr>
      <vt:lpstr>Coroplast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Glorious Printers</cp:lastModifiedBy>
  <dcterms:modified xsi:type="dcterms:W3CDTF">2026-04-08T22:43:43Z</dcterms:modified>
</cp:coreProperties>
</file>